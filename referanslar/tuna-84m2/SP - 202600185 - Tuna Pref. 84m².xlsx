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0" documentId="13_ncr:1_{9F58AF94-E3BD-4F5C-A850-60A0DC149A90}" xr6:coauthVersionLast="47" xr6:coauthVersionMax="47" xr10:uidLastSave="{00000000-0000-0000-0000-000000000000}"/>
  <bookViews>
    <workbookView xWindow="-120" yWindow="-120" windowWidth="29040" windowHeight="15720" tabRatio="883" xr2:uid="{00000000-000D-0000-FFFF-FFFF00000000}"/>
  </bookViews>
  <sheets>
    <sheet name="K1-280-10-6" sheetId="8" r:id="rId1"/>
    <sheet name="2 dus wc tuvalet" sheetId="12" r:id="rId2"/>
    <sheet name="2 Lavoba 1 duş 1 Klozet 1 Wc ta" sheetId="13" r:id="rId3"/>
  </sheets>
  <definedNames>
    <definedName name="_xlnm.Print_Area" localSheetId="0">'K1-280-10-6'!$A$1:$F$165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9" i="8" l="1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9" i="8" l="1"/>
  <c r="F10" i="8"/>
  <c r="F11" i="8"/>
  <c r="F12" i="8"/>
  <c r="F13" i="8"/>
  <c r="F14" i="8"/>
  <c r="F15" i="8"/>
  <c r="F16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5" i="8"/>
  <c r="F46" i="8"/>
  <c r="F52" i="8"/>
  <c r="F53" i="8"/>
  <c r="F54" i="8"/>
  <c r="F55" i="8"/>
  <c r="F58" i="8"/>
  <c r="F59" i="8"/>
  <c r="F60" i="8"/>
  <c r="F61" i="8"/>
  <c r="F64" i="8"/>
  <c r="F65" i="8"/>
  <c r="F66" i="8"/>
  <c r="F67" i="8"/>
  <c r="F68" i="8"/>
  <c r="F69" i="8"/>
  <c r="F70" i="8"/>
  <c r="F71" i="8"/>
  <c r="F72" i="8"/>
  <c r="F73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2" i="8"/>
  <c r="F93" i="8"/>
  <c r="F94" i="8"/>
  <c r="F95" i="8"/>
  <c r="F96" i="8"/>
  <c r="F97" i="8"/>
  <c r="F98" i="8"/>
  <c r="F101" i="8"/>
  <c r="F102" i="8"/>
  <c r="F103" i="8"/>
  <c r="F104" i="8"/>
  <c r="F105" i="8"/>
  <c r="F131" i="8"/>
  <c r="F133" i="8"/>
  <c r="F134" i="8"/>
  <c r="F135" i="8"/>
  <c r="F136" i="8"/>
  <c r="F137" i="8"/>
  <c r="F138" i="8"/>
  <c r="F139" i="8"/>
  <c r="F140" i="8"/>
  <c r="F141" i="8"/>
  <c r="F142" i="8"/>
  <c r="F143" i="8"/>
  <c r="F146" i="8"/>
  <c r="F147" i="8"/>
  <c r="F148" i="8"/>
  <c r="F149" i="8"/>
  <c r="F150" i="8"/>
  <c r="F151" i="8"/>
  <c r="F152" i="8"/>
  <c r="F155" i="8"/>
  <c r="F156" i="8"/>
  <c r="F157" i="8"/>
  <c r="F162" i="8" s="1"/>
  <c r="F158" i="8"/>
  <c r="F159" i="8"/>
  <c r="F160" i="8"/>
  <c r="F161" i="8"/>
  <c r="F17" i="8" l="1"/>
  <c r="F50" i="8"/>
  <c r="F62" i="8"/>
  <c r="F90" i="8"/>
  <c r="F106" i="8"/>
  <c r="F144" i="8"/>
  <c r="F153" i="8"/>
  <c r="F56" i="8"/>
  <c r="F43" i="8"/>
  <c r="F74" i="8"/>
  <c r="F28" i="13"/>
  <c r="F163" i="8" l="1"/>
  <c r="F164" i="8" s="1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31" i="12" l="1"/>
  <c r="F30" i="13"/>
</calcChain>
</file>

<file path=xl/sharedStrings.xml><?xml version="1.0" encoding="utf-8"?>
<sst xmlns="http://schemas.openxmlformats.org/spreadsheetml/2006/main" count="419" uniqueCount="239">
  <si>
    <t>Sevkiyat Yeri :</t>
  </si>
  <si>
    <t>Sevkiyat Tarihi :</t>
  </si>
  <si>
    <t>Dosya Sahibi :</t>
  </si>
  <si>
    <t>S.No</t>
  </si>
  <si>
    <t>Malzeme</t>
  </si>
  <si>
    <t>Malzeme Ölçüsü</t>
  </si>
  <si>
    <t>Adet</t>
  </si>
  <si>
    <t>Birim Fiyatı</t>
  </si>
  <si>
    <t>TOPLAM</t>
  </si>
  <si>
    <t>Yapıştırma ve Karkaslı Panel Grubu</t>
  </si>
  <si>
    <t>60'lık Dolu Pano</t>
  </si>
  <si>
    <t>Duble Pencere Karkaslı Panel                ( 160/120 )</t>
  </si>
  <si>
    <t>Vasistas Oyma Panel ( 60/40 )</t>
  </si>
  <si>
    <t>Dış Kapılı Karkaslı Panel ( Çelik )</t>
  </si>
  <si>
    <t>Amerikan Kapılı Panel ( 80'lik )</t>
  </si>
  <si>
    <t>Kutu Profil ( Flanşlı )</t>
  </si>
  <si>
    <t>Kutu Profil ( Kiriş )</t>
  </si>
  <si>
    <t>Köşe Direği</t>
  </si>
  <si>
    <t>H ( Kulaklı &amp; Dübelli)</t>
  </si>
  <si>
    <t>H ( Kulaksız &amp; Dübelli)</t>
  </si>
  <si>
    <t>H ( Kulaksız )</t>
  </si>
  <si>
    <t>3'lü H ( Kulaklı &amp; Dübelli)</t>
  </si>
  <si>
    <t>3'lü H ( Kulaksız &amp; Dübelli)</t>
  </si>
  <si>
    <t>3'lü H ( Kulaksız )</t>
  </si>
  <si>
    <t>Çektirme U ' Su</t>
  </si>
  <si>
    <t>Duvar Omegası</t>
  </si>
  <si>
    <t>60*2500</t>
  </si>
  <si>
    <t>Saçak Omegası</t>
  </si>
  <si>
    <t>300*2800</t>
  </si>
  <si>
    <t>L : 2500</t>
  </si>
  <si>
    <t>220*2800</t>
  </si>
  <si>
    <t>Aşık Kapama U ' Su</t>
  </si>
  <si>
    <t>L:2500</t>
  </si>
  <si>
    <t>Köşe Direği Betopan Kapama</t>
  </si>
  <si>
    <t>Alt Çerçeve</t>
  </si>
  <si>
    <t>Köşebent</t>
  </si>
  <si>
    <t>30X30X2500</t>
  </si>
  <si>
    <t>Metal Aksam Grubu</t>
  </si>
  <si>
    <t>Kapı - Pvc Pencere Grubu</t>
  </si>
  <si>
    <t>90*2050</t>
  </si>
  <si>
    <t>800*1980</t>
  </si>
  <si>
    <t>Asma Tavan Grubu</t>
  </si>
  <si>
    <t>Asma Tavan Alçıpan</t>
  </si>
  <si>
    <t>12X1200X2500</t>
  </si>
  <si>
    <t>Yeşil Alçıpan</t>
  </si>
  <si>
    <t>Betopan</t>
  </si>
  <si>
    <t>Makas Grubu</t>
  </si>
  <si>
    <t>Özel Baş Makas</t>
  </si>
  <si>
    <t>Baş Makas</t>
  </si>
  <si>
    <t>Orta Makas</t>
  </si>
  <si>
    <t>Cumba Baş Makas</t>
  </si>
  <si>
    <t>Çatı Grubu</t>
  </si>
  <si>
    <t>L : 1000</t>
  </si>
  <si>
    <t>Özel Mahya</t>
  </si>
  <si>
    <t>Omega Aşık</t>
  </si>
  <si>
    <t>L:4200</t>
  </si>
  <si>
    <t>L:3000</t>
  </si>
  <si>
    <t>100mm - 9.6 m²</t>
  </si>
  <si>
    <t>Elektrik Grubu</t>
  </si>
  <si>
    <t>Duylu Armatür</t>
  </si>
  <si>
    <t>Yuvarlak Glop</t>
  </si>
  <si>
    <t>Standart</t>
  </si>
  <si>
    <t>Tasarruf Ampul'ü</t>
  </si>
  <si>
    <t>Nym Kablo</t>
  </si>
  <si>
    <t>3 x 2.5</t>
  </si>
  <si>
    <t>2 x 1.5</t>
  </si>
  <si>
    <t>Takım</t>
  </si>
  <si>
    <t>Tekli Anahtar</t>
  </si>
  <si>
    <t>Sıva Altı</t>
  </si>
  <si>
    <t>Çiftli Anahtar</t>
  </si>
  <si>
    <t>Priz</t>
  </si>
  <si>
    <t>Sigorta Kutusu</t>
  </si>
  <si>
    <t>12'li</t>
  </si>
  <si>
    <t>W Otomat Kutusu</t>
  </si>
  <si>
    <t>25 Amper</t>
  </si>
  <si>
    <t>Kaçak Akım Rolesi</t>
  </si>
  <si>
    <t>40 Amper</t>
  </si>
  <si>
    <t>İzole Bant</t>
  </si>
  <si>
    <t>Kapı Zili</t>
  </si>
  <si>
    <t>1000 Adet</t>
  </si>
  <si>
    <t>Saçak ve Dere Kancası ( 3.9 x 25 )</t>
  </si>
  <si>
    <t>16mm Betopan ve Kapı Kolları                     ( 4.2 x32 )</t>
  </si>
  <si>
    <t>Çatı Aşıkları ( 5.5 x 25 )</t>
  </si>
  <si>
    <t>Çelik dübel</t>
  </si>
  <si>
    <t>Vida Grubu</t>
  </si>
  <si>
    <t>Pvc Grubu</t>
  </si>
  <si>
    <t>Pvc Omega Kapak</t>
  </si>
  <si>
    <t>Pvc H Kapak</t>
  </si>
  <si>
    <t>Pvc Plastik H</t>
  </si>
  <si>
    <t>8 x 3000</t>
  </si>
  <si>
    <t>Sıhhi Tesisat Grubu</t>
  </si>
  <si>
    <t>Temiz Su Borusu</t>
  </si>
  <si>
    <t>L : 4000</t>
  </si>
  <si>
    <t>Normal Dirsek</t>
  </si>
  <si>
    <t>20mm</t>
  </si>
  <si>
    <t>Kulaklı Dirsek</t>
  </si>
  <si>
    <t>Düz T</t>
  </si>
  <si>
    <t>İç Dişli T</t>
  </si>
  <si>
    <t>Atlama Parçası</t>
  </si>
  <si>
    <t>Maşon</t>
  </si>
  <si>
    <t>Spiral Hortum</t>
  </si>
  <si>
    <t>Kapalı Dirsek</t>
  </si>
  <si>
    <t>100 x 87</t>
  </si>
  <si>
    <t>Tek Çatal</t>
  </si>
  <si>
    <t>100 x 50</t>
  </si>
  <si>
    <t>Çift Çatal</t>
  </si>
  <si>
    <t>Rediksiyon</t>
  </si>
  <si>
    <t>Açık Dirsek</t>
  </si>
  <si>
    <t>Pvc Atık Su Borusu</t>
  </si>
  <si>
    <t>100 x 500</t>
  </si>
  <si>
    <t>100 x 1000</t>
  </si>
  <si>
    <t>Pvc Boru</t>
  </si>
  <si>
    <t>50 x 500</t>
  </si>
  <si>
    <t>50 x 1000</t>
  </si>
  <si>
    <t>Pvc T Boru</t>
  </si>
  <si>
    <t>100 x 100</t>
  </si>
  <si>
    <t>50 x 50</t>
  </si>
  <si>
    <t>Dirsek</t>
  </si>
  <si>
    <t>50 x 45</t>
  </si>
  <si>
    <t>50 x 87</t>
  </si>
  <si>
    <t>Kör Tapa</t>
  </si>
  <si>
    <t>Yer Süzgeci</t>
  </si>
  <si>
    <t>80 x 80</t>
  </si>
  <si>
    <t>Adaptör ( Takoz Conta )</t>
  </si>
  <si>
    <t>Duş Teknesi ( Ayaklı takım )</t>
  </si>
  <si>
    <t>800 x 800</t>
  </si>
  <si>
    <t>Alttan Çıkışlı Klozet</t>
  </si>
  <si>
    <t>Lavobo</t>
  </si>
  <si>
    <t>Teflon Band</t>
  </si>
  <si>
    <t>Dere Grubu</t>
  </si>
  <si>
    <t>Metal Dere</t>
  </si>
  <si>
    <t>70 mm Pvc Boru</t>
  </si>
  <si>
    <t>L : 500</t>
  </si>
  <si>
    <t>70 mm</t>
  </si>
  <si>
    <t>Dirsek Kelepçesi</t>
  </si>
  <si>
    <t>150 mm</t>
  </si>
  <si>
    <t>Boya Grubu</t>
  </si>
  <si>
    <t>Metal Aksam Boyası</t>
  </si>
  <si>
    <t>5 kg</t>
  </si>
  <si>
    <t>Tiner</t>
  </si>
  <si>
    <t>1 Kutu / 30 Adet</t>
  </si>
  <si>
    <t>1 kutu / 25 Adet</t>
  </si>
  <si>
    <t>Ekstra Grubu</t>
  </si>
  <si>
    <t>İç Kapı Kolu ve Kilidi</t>
  </si>
  <si>
    <t>İç Kapı Menteşe</t>
  </si>
  <si>
    <t>GENEL TOPLAM</t>
  </si>
  <si>
    <t>Çerçeve</t>
  </si>
  <si>
    <t>400 Adet</t>
  </si>
  <si>
    <t>KDV DAHİL GENEL TOPLAM</t>
  </si>
  <si>
    <t>Pvc Pencere Kolu</t>
  </si>
  <si>
    <t>Pvc Pencere Pervaz Matik</t>
  </si>
  <si>
    <t>Çekomastik</t>
  </si>
  <si>
    <t>Wc Taşı + Rezervuar + Asma Rezervuar</t>
  </si>
  <si>
    <t>100'lük Dolu Pano</t>
  </si>
  <si>
    <t>100*2500</t>
  </si>
  <si>
    <t>Saçak Sacı (Yeni)</t>
  </si>
  <si>
    <t>Baş Makas Z Sacı</t>
  </si>
  <si>
    <t>70*2500</t>
  </si>
  <si>
    <t>Baş Makas Menfezi</t>
  </si>
  <si>
    <t>L : 1400</t>
  </si>
  <si>
    <t xml:space="preserve"> Çatı Şiltesi</t>
  </si>
  <si>
    <t>2 wc 2 duş 2 klozet</t>
  </si>
  <si>
    <t xml:space="preserve">2 Lavoba 1 duş 1 Klozet 1 Wc taşı </t>
  </si>
  <si>
    <t>2,5 LT</t>
  </si>
  <si>
    <t>Prefabrik Pencereler ( 4.8 x 70 )</t>
  </si>
  <si>
    <t>16X210X2800</t>
  </si>
  <si>
    <t>Dyo Tavan Boyası</t>
  </si>
  <si>
    <t>Metal Dere Kapağı</t>
  </si>
  <si>
    <t>Metal Dere İnişi</t>
  </si>
  <si>
    <t>Metal Dere Kancası</t>
  </si>
  <si>
    <t>7 TL/Adet</t>
  </si>
  <si>
    <t>150 x 150</t>
  </si>
  <si>
    <t>15 kg</t>
  </si>
  <si>
    <t>2,5 kg</t>
  </si>
  <si>
    <t>17,5 kg</t>
  </si>
  <si>
    <t>1250 Adet</t>
  </si>
  <si>
    <t>L : 1250</t>
  </si>
  <si>
    <t>L : 250</t>
  </si>
  <si>
    <t>Sistem Prefabrik Sipariş No :</t>
  </si>
  <si>
    <t>%20 Kdv</t>
  </si>
  <si>
    <t>SİSTEM PREFABRİK                                                                                                                                                                 84m² Prefabrik Bina Malzeme Fiyat Listesi ( Tuna Prefabrik )</t>
  </si>
  <si>
    <t>100*100*4970</t>
  </si>
  <si>
    <t>60*4940</t>
  </si>
  <si>
    <t>60*3680</t>
  </si>
  <si>
    <t>Amerikan Kapı ( 3 Sol - 2 Sağ )</t>
  </si>
  <si>
    <t>956*150</t>
  </si>
  <si>
    <t>575*95</t>
  </si>
  <si>
    <t>L : 5000</t>
  </si>
  <si>
    <t>158.5/118.5</t>
  </si>
  <si>
    <t>58.5/38.5</t>
  </si>
  <si>
    <t>Ant. Gri Poliratan</t>
  </si>
  <si>
    <t>L : 5100</t>
  </si>
  <si>
    <t>L : 4700</t>
  </si>
  <si>
    <t>Pvc Pencere Sineklikli Malzemesi</t>
  </si>
  <si>
    <t>Pvc Vasistas                                       ( Pervazlı - Menteşe Sineklikli )</t>
  </si>
  <si>
    <t>Fırat Pen Pvc Pencere                                       ( Pervazlı - Menteşe Sineklikli )</t>
  </si>
  <si>
    <t>110*3750</t>
  </si>
  <si>
    <t>110*2500</t>
  </si>
  <si>
    <t>Tavan H ' ı</t>
  </si>
  <si>
    <t>Ramazan ASLAN</t>
  </si>
  <si>
    <t>Yeşil Alçıpan ( 3.5 x 35 )</t>
  </si>
  <si>
    <t>100*1250*2500</t>
  </si>
  <si>
    <t>60*1250*2500</t>
  </si>
  <si>
    <t>100x1250x2500</t>
  </si>
  <si>
    <t>100x1660x2500</t>
  </si>
  <si>
    <t>60x1250x2500</t>
  </si>
  <si>
    <t>60x1220x2500</t>
  </si>
  <si>
    <t>100*100*2500</t>
  </si>
  <si>
    <t>98*98*2500</t>
  </si>
  <si>
    <t>58*58*2500</t>
  </si>
  <si>
    <t>98*58*2500</t>
  </si>
  <si>
    <t>60*2440</t>
  </si>
  <si>
    <t>L : 2000</t>
  </si>
  <si>
    <t>50 * 2500</t>
  </si>
  <si>
    <t>8x1250x2500</t>
  </si>
  <si>
    <t>Amerikan Kapılı Panel ( 80'lik )               1 adedi Kasalar Geniş</t>
  </si>
  <si>
    <t>SP - 202600185</t>
  </si>
  <si>
    <t>11.09.2026 - Cuma</t>
  </si>
  <si>
    <t>Pencere Karkaslı Panel ( 119/120 )</t>
  </si>
  <si>
    <t xml:space="preserve">Alın V ' Si </t>
  </si>
  <si>
    <t>117.5/118.5</t>
  </si>
  <si>
    <t>Çelik Kapı ( Sağ )</t>
  </si>
  <si>
    <t>Antrasit Gri Trapez Sac Mahya</t>
  </si>
  <si>
    <t>L : 800</t>
  </si>
  <si>
    <t>Ant. Gri Trapez Sac 80 Kapatır</t>
  </si>
  <si>
    <t>Osb</t>
  </si>
  <si>
    <t>1220*2440</t>
  </si>
  <si>
    <t>Osb Mahyası</t>
  </si>
  <si>
    <t>Nembariyeri ( tyvek )</t>
  </si>
  <si>
    <t>Trapez Sac - Metal Kiremit                                  ( 5.5 x 60 )</t>
  </si>
  <si>
    <t>Dyo Dış Cephe Silikonlu</t>
  </si>
  <si>
    <t xml:space="preserve">Dyo Dış Cephe Silikonlu </t>
  </si>
  <si>
    <t xml:space="preserve">Dyo İç Cephe Silikonlu                    </t>
  </si>
  <si>
    <t>Baca Aparatı</t>
  </si>
  <si>
    <t>L : 3050</t>
  </si>
  <si>
    <t>100*100*3500</t>
  </si>
  <si>
    <t>370.000 TL KDV DAHİL</t>
  </si>
  <si>
    <t>Kutulu Takım</t>
  </si>
  <si>
    <t>Poliüretan Köpük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</si>
</sst>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TL&quot;"/>
  </numFmts>
  <fonts count="5" x14ac:knownFonts="1">
    <font>
      <sz val="11"/>
      <color theme="1"/>
      <name val="Calibri"/>
      <family val="2"/>
      <scheme val="minor"/>
    </font>
    <font>
      <b/>
      <sz val="15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0"/>
      <name val="Arial"/>
      <family val="2"/>
      <charset val="162"/>
    </font>
    <font>
      <b/>
      <sz val="12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EB9BA"/>
        <bgColor indexed="64"/>
      </patternFill>
    </fill>
    <fill>
      <patternFill patternType="solid">
        <fgColor rgb="FFDEEEEE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4" borderId="3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EEEEE"/>
      <color rgb="FFAEB9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165"/>
  <sheetViews>
    <sheetView tabSelected="1" zoomScaleNormal="100" workbookViewId="0">
      <selection sqref="A1:F1"/>
    </sheetView>
  </sheetViews>
  <sheetFormatPr defaultRowHeight="15" x14ac:dyDescent="0.25"/>
  <cols>
    <col min="1" max="1" width="9.7109375" customWidth="1"/>
    <col min="2" max="2" width="32.7109375" customWidth="1"/>
    <col min="3" max="3" width="20.7109375" customWidth="1"/>
    <col min="4" max="5" width="11.7109375" customWidth="1"/>
    <col min="6" max="6" width="20.7109375" customWidth="1"/>
  </cols>
  <sheetData>
    <row r="1" spans="1:6" ht="60" customHeight="1" x14ac:dyDescent="0.25">
      <c r="A1" s="29" t="s">
        <v>180</v>
      </c>
      <c r="B1" s="30"/>
      <c r="C1" s="30"/>
      <c r="D1" s="30"/>
      <c r="E1" s="30"/>
      <c r="F1" s="31"/>
    </row>
    <row r="2" spans="1:6" ht="24.95" customHeight="1" x14ac:dyDescent="0.25">
      <c r="A2" s="26" t="s">
        <v>178</v>
      </c>
      <c r="B2" s="27"/>
      <c r="C2" s="27" t="s">
        <v>216</v>
      </c>
      <c r="D2" s="27"/>
      <c r="E2" s="27"/>
      <c r="F2" s="28"/>
    </row>
    <row r="3" spans="1:6" ht="24.95" customHeight="1" x14ac:dyDescent="0.25">
      <c r="A3" s="26" t="s">
        <v>0</v>
      </c>
      <c r="B3" s="27"/>
      <c r="C3" s="27"/>
      <c r="D3" s="27"/>
      <c r="E3" s="27"/>
      <c r="F3" s="28"/>
    </row>
    <row r="4" spans="1:6" ht="24.95" customHeight="1" x14ac:dyDescent="0.25">
      <c r="A4" s="26" t="s">
        <v>1</v>
      </c>
      <c r="B4" s="27"/>
      <c r="C4" s="27" t="s">
        <v>217</v>
      </c>
      <c r="D4" s="27"/>
      <c r="E4" s="27"/>
      <c r="F4" s="28"/>
    </row>
    <row r="5" spans="1:6" ht="24.95" customHeight="1" x14ac:dyDescent="0.25">
      <c r="A5" s="26" t="s">
        <v>2</v>
      </c>
      <c r="B5" s="27"/>
      <c r="C5" s="27" t="s">
        <v>199</v>
      </c>
      <c r="D5" s="27"/>
      <c r="E5" s="27"/>
      <c r="F5" s="28"/>
    </row>
    <row r="6" spans="1:6" ht="24.95" customHeight="1" x14ac:dyDescent="0.25">
      <c r="A6" s="1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5" t="s">
        <v>8</v>
      </c>
    </row>
    <row r="7" spans="1:6" ht="9.75" hidden="1" customHeight="1" x14ac:dyDescent="0.25">
      <c r="A7" s="20"/>
      <c r="B7" s="21"/>
      <c r="C7" s="21"/>
      <c r="D7" s="21"/>
      <c r="E7" s="21"/>
      <c r="F7" s="32"/>
    </row>
    <row r="8" spans="1:6" ht="24.95" customHeight="1" x14ac:dyDescent="0.25">
      <c r="A8" s="33" t="s">
        <v>9</v>
      </c>
      <c r="B8" s="34"/>
      <c r="C8" s="34"/>
      <c r="D8" s="34"/>
      <c r="E8" s="34"/>
      <c r="F8" s="35"/>
    </row>
    <row r="9" spans="1:6" ht="24.95" customHeight="1" x14ac:dyDescent="0.25">
      <c r="A9" s="6">
        <v>1</v>
      </c>
      <c r="B9" s="4" t="s">
        <v>153</v>
      </c>
      <c r="C9" s="4" t="s">
        <v>201</v>
      </c>
      <c r="D9" s="9">
        <v>23</v>
      </c>
      <c r="E9" s="7">
        <v>2172</v>
      </c>
      <c r="F9" s="8">
        <f>D9*E9</f>
        <v>49956</v>
      </c>
    </row>
    <row r="10" spans="1:6" ht="24.95" customHeight="1" x14ac:dyDescent="0.25">
      <c r="A10" s="6">
        <v>2</v>
      </c>
      <c r="B10" s="4" t="s">
        <v>10</v>
      </c>
      <c r="C10" s="4" t="s">
        <v>202</v>
      </c>
      <c r="D10" s="9">
        <v>12</v>
      </c>
      <c r="E10" s="7">
        <v>1905</v>
      </c>
      <c r="F10" s="8">
        <f t="shared" ref="F10" si="0">D10*E10</f>
        <v>22860</v>
      </c>
    </row>
    <row r="11" spans="1:6" ht="24.95" customHeight="1" x14ac:dyDescent="0.25">
      <c r="A11" s="6">
        <v>3</v>
      </c>
      <c r="B11" s="4" t="s">
        <v>218</v>
      </c>
      <c r="C11" s="4" t="s">
        <v>203</v>
      </c>
      <c r="D11" s="9">
        <v>3</v>
      </c>
      <c r="E11" s="7">
        <v>2200</v>
      </c>
      <c r="F11" s="8">
        <f t="shared" ref="F11:F16" si="1">D11*E11</f>
        <v>6600</v>
      </c>
    </row>
    <row r="12" spans="1:6" ht="24.95" customHeight="1" x14ac:dyDescent="0.25">
      <c r="A12" s="6">
        <v>4</v>
      </c>
      <c r="B12" s="4" t="s">
        <v>11</v>
      </c>
      <c r="C12" s="14" t="s">
        <v>204</v>
      </c>
      <c r="D12" s="9">
        <v>2</v>
      </c>
      <c r="E12" s="7">
        <v>2708</v>
      </c>
      <c r="F12" s="8">
        <f t="shared" si="1"/>
        <v>5416</v>
      </c>
    </row>
    <row r="13" spans="1:6" ht="24.95" customHeight="1" x14ac:dyDescent="0.25">
      <c r="A13" s="6">
        <v>5</v>
      </c>
      <c r="B13" s="4" t="s">
        <v>12</v>
      </c>
      <c r="C13" s="4" t="s">
        <v>203</v>
      </c>
      <c r="D13" s="9">
        <v>1</v>
      </c>
      <c r="E13" s="7">
        <v>2200</v>
      </c>
      <c r="F13" s="8">
        <f t="shared" si="1"/>
        <v>2200</v>
      </c>
    </row>
    <row r="14" spans="1:6" ht="24.95" customHeight="1" x14ac:dyDescent="0.25">
      <c r="A14" s="6">
        <v>6</v>
      </c>
      <c r="B14" s="4" t="s">
        <v>13</v>
      </c>
      <c r="C14" s="14" t="s">
        <v>203</v>
      </c>
      <c r="D14" s="9">
        <v>1</v>
      </c>
      <c r="E14" s="7">
        <v>1942</v>
      </c>
      <c r="F14" s="8">
        <f t="shared" si="1"/>
        <v>1942</v>
      </c>
    </row>
    <row r="15" spans="1:6" ht="24.95" customHeight="1" x14ac:dyDescent="0.25">
      <c r="A15" s="6">
        <v>7</v>
      </c>
      <c r="B15" s="4" t="s">
        <v>14</v>
      </c>
      <c r="C15" s="4" t="s">
        <v>205</v>
      </c>
      <c r="D15" s="9">
        <v>3</v>
      </c>
      <c r="E15" s="7">
        <v>1848</v>
      </c>
      <c r="F15" s="8">
        <f t="shared" si="1"/>
        <v>5544</v>
      </c>
    </row>
    <row r="16" spans="1:6" ht="24.95" customHeight="1" x14ac:dyDescent="0.25">
      <c r="A16" s="6">
        <v>8</v>
      </c>
      <c r="B16" s="4" t="s">
        <v>215</v>
      </c>
      <c r="C16" s="4" t="s">
        <v>206</v>
      </c>
      <c r="D16" s="9">
        <v>2</v>
      </c>
      <c r="E16" s="7">
        <v>1848</v>
      </c>
      <c r="F16" s="8">
        <f t="shared" si="1"/>
        <v>3696</v>
      </c>
    </row>
    <row r="17" spans="1:6" ht="24.95" customHeight="1" x14ac:dyDescent="0.25">
      <c r="A17" s="24"/>
      <c r="B17" s="25"/>
      <c r="C17" s="25"/>
      <c r="D17" s="18" t="s">
        <v>8</v>
      </c>
      <c r="E17" s="19"/>
      <c r="F17" s="13">
        <f>SUM(F9:F16)</f>
        <v>98214</v>
      </c>
    </row>
    <row r="18" spans="1:6" ht="24.95" customHeight="1" x14ac:dyDescent="0.25">
      <c r="A18" s="33" t="s">
        <v>37</v>
      </c>
      <c r="B18" s="34"/>
      <c r="C18" s="34"/>
      <c r="D18" s="34"/>
      <c r="E18" s="34"/>
      <c r="F18" s="35"/>
    </row>
    <row r="19" spans="1:6" ht="24.95" customHeight="1" x14ac:dyDescent="0.25">
      <c r="A19" s="6">
        <v>9</v>
      </c>
      <c r="B19" s="4" t="s">
        <v>15</v>
      </c>
      <c r="C19" s="4" t="s">
        <v>207</v>
      </c>
      <c r="D19" s="9">
        <v>2</v>
      </c>
      <c r="E19" s="7">
        <v>795</v>
      </c>
      <c r="F19" s="8">
        <f>D19*E19</f>
        <v>1590</v>
      </c>
    </row>
    <row r="20" spans="1:6" ht="24.95" customHeight="1" x14ac:dyDescent="0.25">
      <c r="A20" s="6">
        <v>10</v>
      </c>
      <c r="B20" s="4" t="s">
        <v>16</v>
      </c>
      <c r="C20" s="4" t="s">
        <v>181</v>
      </c>
      <c r="D20" s="9">
        <v>1</v>
      </c>
      <c r="E20" s="7">
        <v>1476</v>
      </c>
      <c r="F20" s="8">
        <f t="shared" ref="F20:F42" si="2">D20*E20</f>
        <v>1476</v>
      </c>
    </row>
    <row r="21" spans="1:6" ht="24.95" customHeight="1" x14ac:dyDescent="0.25">
      <c r="A21" s="6">
        <v>11</v>
      </c>
      <c r="B21" s="4" t="s">
        <v>16</v>
      </c>
      <c r="C21" s="17" t="s">
        <v>235</v>
      </c>
      <c r="D21" s="16">
        <v>1</v>
      </c>
      <c r="E21" s="7">
        <v>658</v>
      </c>
      <c r="F21" s="8">
        <f t="shared" si="2"/>
        <v>658</v>
      </c>
    </row>
    <row r="22" spans="1:6" ht="24.95" customHeight="1" x14ac:dyDescent="0.25">
      <c r="A22" s="6">
        <v>12</v>
      </c>
      <c r="B22" s="3" t="s">
        <v>17</v>
      </c>
      <c r="C22" s="4" t="s">
        <v>208</v>
      </c>
      <c r="D22" s="16">
        <v>8</v>
      </c>
      <c r="E22" s="7">
        <v>591</v>
      </c>
      <c r="F22" s="8">
        <f t="shared" si="2"/>
        <v>4728</v>
      </c>
    </row>
    <row r="23" spans="1:6" ht="24.95" customHeight="1" x14ac:dyDescent="0.25">
      <c r="A23" s="6">
        <v>13</v>
      </c>
      <c r="B23" s="4" t="s">
        <v>18</v>
      </c>
      <c r="C23" s="4" t="s">
        <v>208</v>
      </c>
      <c r="D23" s="16">
        <v>10</v>
      </c>
      <c r="E23" s="7">
        <v>272</v>
      </c>
      <c r="F23" s="8">
        <f t="shared" si="2"/>
        <v>2720</v>
      </c>
    </row>
    <row r="24" spans="1:6" ht="24.95" customHeight="1" x14ac:dyDescent="0.25">
      <c r="A24" s="6">
        <v>14</v>
      </c>
      <c r="B24" s="4" t="s">
        <v>19</v>
      </c>
      <c r="C24" s="4" t="s">
        <v>208</v>
      </c>
      <c r="D24" s="9">
        <v>10</v>
      </c>
      <c r="E24" s="7">
        <v>247</v>
      </c>
      <c r="F24" s="8">
        <f t="shared" si="2"/>
        <v>2470</v>
      </c>
    </row>
    <row r="25" spans="1:6" ht="24.95" customHeight="1" x14ac:dyDescent="0.25">
      <c r="A25" s="6">
        <v>15</v>
      </c>
      <c r="B25" s="4" t="s">
        <v>20</v>
      </c>
      <c r="C25" s="4" t="s">
        <v>209</v>
      </c>
      <c r="D25" s="16">
        <v>9</v>
      </c>
      <c r="E25" s="7">
        <v>159.24</v>
      </c>
      <c r="F25" s="8">
        <f t="shared" si="2"/>
        <v>1433.16</v>
      </c>
    </row>
    <row r="26" spans="1:6" ht="24.95" customHeight="1" x14ac:dyDescent="0.25">
      <c r="A26" s="6">
        <v>16</v>
      </c>
      <c r="B26" s="4" t="s">
        <v>21</v>
      </c>
      <c r="C26" s="4" t="s">
        <v>210</v>
      </c>
      <c r="D26" s="9">
        <v>2</v>
      </c>
      <c r="E26" s="7">
        <v>369</v>
      </c>
      <c r="F26" s="8">
        <f t="shared" si="2"/>
        <v>738</v>
      </c>
    </row>
    <row r="27" spans="1:6" ht="24.95" customHeight="1" x14ac:dyDescent="0.25">
      <c r="A27" s="6">
        <v>17</v>
      </c>
      <c r="B27" s="4" t="s">
        <v>22</v>
      </c>
      <c r="C27" s="4" t="s">
        <v>210</v>
      </c>
      <c r="D27" s="16">
        <v>1</v>
      </c>
      <c r="E27" s="7">
        <v>344</v>
      </c>
      <c r="F27" s="8">
        <f t="shared" si="2"/>
        <v>344</v>
      </c>
    </row>
    <row r="28" spans="1:6" ht="24.95" customHeight="1" x14ac:dyDescent="0.25">
      <c r="A28" s="6">
        <v>18</v>
      </c>
      <c r="B28" s="4" t="s">
        <v>23</v>
      </c>
      <c r="C28" s="4" t="s">
        <v>209</v>
      </c>
      <c r="D28" s="9">
        <v>4</v>
      </c>
      <c r="E28" s="7">
        <v>256</v>
      </c>
      <c r="F28" s="8">
        <f t="shared" si="2"/>
        <v>1024</v>
      </c>
    </row>
    <row r="29" spans="1:6" ht="24.95" customHeight="1" x14ac:dyDescent="0.25">
      <c r="A29" s="6">
        <v>19</v>
      </c>
      <c r="B29" s="4" t="s">
        <v>24</v>
      </c>
      <c r="C29" s="4" t="s">
        <v>211</v>
      </c>
      <c r="D29" s="9">
        <v>4</v>
      </c>
      <c r="E29" s="7">
        <v>97</v>
      </c>
      <c r="F29" s="8">
        <f t="shared" si="2"/>
        <v>388</v>
      </c>
    </row>
    <row r="30" spans="1:6" ht="24.95" customHeight="1" x14ac:dyDescent="0.25">
      <c r="A30" s="6">
        <v>20</v>
      </c>
      <c r="B30" s="4" t="s">
        <v>25</v>
      </c>
      <c r="C30" s="3" t="s">
        <v>26</v>
      </c>
      <c r="D30" s="16">
        <v>16</v>
      </c>
      <c r="E30" s="7">
        <v>134</v>
      </c>
      <c r="F30" s="8">
        <f t="shared" si="2"/>
        <v>2144</v>
      </c>
    </row>
    <row r="31" spans="1:6" ht="24.95" customHeight="1" x14ac:dyDescent="0.25">
      <c r="A31" s="6">
        <v>21</v>
      </c>
      <c r="B31" s="4" t="s">
        <v>25</v>
      </c>
      <c r="C31" s="15" t="s">
        <v>183</v>
      </c>
      <c r="D31" s="9">
        <v>6</v>
      </c>
      <c r="E31" s="7">
        <v>196</v>
      </c>
      <c r="F31" s="8">
        <f t="shared" si="2"/>
        <v>1176</v>
      </c>
    </row>
    <row r="32" spans="1:6" ht="24.95" customHeight="1" x14ac:dyDescent="0.25">
      <c r="A32" s="6">
        <v>22</v>
      </c>
      <c r="B32" s="4" t="s">
        <v>25</v>
      </c>
      <c r="C32" s="15" t="s">
        <v>182</v>
      </c>
      <c r="D32" s="9">
        <v>3</v>
      </c>
      <c r="E32" s="7">
        <v>263</v>
      </c>
      <c r="F32" s="8">
        <f t="shared" si="2"/>
        <v>789</v>
      </c>
    </row>
    <row r="33" spans="1:6" ht="24.95" customHeight="1" x14ac:dyDescent="0.25">
      <c r="A33" s="6">
        <v>23</v>
      </c>
      <c r="B33" s="4" t="s">
        <v>25</v>
      </c>
      <c r="C33" s="3" t="s">
        <v>154</v>
      </c>
      <c r="D33" s="16">
        <v>4</v>
      </c>
      <c r="E33" s="7">
        <v>164</v>
      </c>
      <c r="F33" s="8">
        <f t="shared" si="2"/>
        <v>656</v>
      </c>
    </row>
    <row r="34" spans="1:6" ht="24.95" customHeight="1" x14ac:dyDescent="0.25">
      <c r="A34" s="6">
        <v>24</v>
      </c>
      <c r="B34" s="4" t="s">
        <v>27</v>
      </c>
      <c r="C34" s="3" t="s">
        <v>154</v>
      </c>
      <c r="D34" s="9">
        <v>8</v>
      </c>
      <c r="E34" s="7">
        <v>164</v>
      </c>
      <c r="F34" s="8">
        <f t="shared" si="2"/>
        <v>1312</v>
      </c>
    </row>
    <row r="35" spans="1:6" ht="24.95" customHeight="1" x14ac:dyDescent="0.25">
      <c r="A35" s="6">
        <v>25</v>
      </c>
      <c r="B35" s="4" t="s">
        <v>155</v>
      </c>
      <c r="C35" s="3" t="s">
        <v>28</v>
      </c>
      <c r="D35" s="9">
        <v>8</v>
      </c>
      <c r="E35" s="7">
        <v>360</v>
      </c>
      <c r="F35" s="8">
        <f t="shared" si="2"/>
        <v>2880</v>
      </c>
    </row>
    <row r="36" spans="1:6" ht="24.95" customHeight="1" x14ac:dyDescent="0.25">
      <c r="A36" s="6">
        <v>26</v>
      </c>
      <c r="B36" s="10" t="s">
        <v>219</v>
      </c>
      <c r="C36" s="3" t="s">
        <v>30</v>
      </c>
      <c r="D36" s="9">
        <v>9</v>
      </c>
      <c r="E36" s="7">
        <v>314</v>
      </c>
      <c r="F36" s="8">
        <f t="shared" si="2"/>
        <v>2826</v>
      </c>
    </row>
    <row r="37" spans="1:6" ht="24.95" customHeight="1" x14ac:dyDescent="0.25">
      <c r="A37" s="6">
        <v>27</v>
      </c>
      <c r="B37" s="4" t="s">
        <v>31</v>
      </c>
      <c r="C37" s="3" t="s">
        <v>32</v>
      </c>
      <c r="D37" s="9">
        <v>9</v>
      </c>
      <c r="E37" s="7">
        <v>93.4</v>
      </c>
      <c r="F37" s="8">
        <f t="shared" si="2"/>
        <v>840.6</v>
      </c>
    </row>
    <row r="38" spans="1:6" ht="24.95" customHeight="1" x14ac:dyDescent="0.25">
      <c r="A38" s="6">
        <v>28</v>
      </c>
      <c r="B38" s="4" t="s">
        <v>34</v>
      </c>
      <c r="C38" s="3" t="s">
        <v>26</v>
      </c>
      <c r="D38" s="9">
        <v>10</v>
      </c>
      <c r="E38" s="7">
        <v>109</v>
      </c>
      <c r="F38" s="8">
        <f t="shared" si="2"/>
        <v>1090</v>
      </c>
    </row>
    <row r="39" spans="1:6" ht="24.95" customHeight="1" x14ac:dyDescent="0.25">
      <c r="A39" s="6">
        <v>29</v>
      </c>
      <c r="B39" s="4" t="s">
        <v>34</v>
      </c>
      <c r="C39" s="3" t="s">
        <v>154</v>
      </c>
      <c r="D39" s="16">
        <v>15</v>
      </c>
      <c r="E39" s="7">
        <v>133.97999999999999</v>
      </c>
      <c r="F39" s="8">
        <f t="shared" si="2"/>
        <v>2009.6999999999998</v>
      </c>
    </row>
    <row r="40" spans="1:6" ht="24.95" customHeight="1" x14ac:dyDescent="0.25">
      <c r="A40" s="6">
        <v>30</v>
      </c>
      <c r="B40" s="4" t="s">
        <v>35</v>
      </c>
      <c r="C40" s="3" t="s">
        <v>36</v>
      </c>
      <c r="D40" s="9">
        <v>3</v>
      </c>
      <c r="E40" s="7">
        <v>46</v>
      </c>
      <c r="F40" s="8">
        <f t="shared" si="2"/>
        <v>138</v>
      </c>
    </row>
    <row r="41" spans="1:6" ht="24.95" customHeight="1" x14ac:dyDescent="0.25">
      <c r="A41" s="6">
        <v>31</v>
      </c>
      <c r="B41" s="4" t="s">
        <v>156</v>
      </c>
      <c r="C41" s="3" t="s">
        <v>157</v>
      </c>
      <c r="D41" s="9">
        <v>9</v>
      </c>
      <c r="E41" s="7">
        <v>76</v>
      </c>
      <c r="F41" s="8">
        <f t="shared" si="2"/>
        <v>684</v>
      </c>
    </row>
    <row r="42" spans="1:6" ht="24.95" customHeight="1" x14ac:dyDescent="0.25">
      <c r="A42" s="6">
        <v>32</v>
      </c>
      <c r="B42" s="4" t="s">
        <v>158</v>
      </c>
      <c r="C42" s="3" t="s">
        <v>159</v>
      </c>
      <c r="D42" s="9">
        <v>3</v>
      </c>
      <c r="E42" s="7">
        <v>77</v>
      </c>
      <c r="F42" s="8">
        <f t="shared" si="2"/>
        <v>231</v>
      </c>
    </row>
    <row r="43" spans="1:6" ht="24.95" customHeight="1" x14ac:dyDescent="0.25">
      <c r="A43" s="24"/>
      <c r="B43" s="25"/>
      <c r="C43" s="25"/>
      <c r="D43" s="18" t="s">
        <v>8</v>
      </c>
      <c r="E43" s="19"/>
      <c r="F43" s="13">
        <f>SUM(F19:F42)</f>
        <v>34345.46</v>
      </c>
    </row>
    <row r="44" spans="1:6" ht="24.75" customHeight="1" x14ac:dyDescent="0.25">
      <c r="A44" s="33" t="s">
        <v>38</v>
      </c>
      <c r="B44" s="34"/>
      <c r="C44" s="34"/>
      <c r="D44" s="34"/>
      <c r="E44" s="34"/>
      <c r="F44" s="35"/>
    </row>
    <row r="45" spans="1:6" ht="24.95" customHeight="1" x14ac:dyDescent="0.25">
      <c r="A45" s="6">
        <v>33</v>
      </c>
      <c r="B45" s="4" t="s">
        <v>221</v>
      </c>
      <c r="C45" s="3" t="s">
        <v>39</v>
      </c>
      <c r="D45" s="9">
        <v>1</v>
      </c>
      <c r="E45" s="7">
        <v>9900</v>
      </c>
      <c r="F45" s="8">
        <f>D45*E45</f>
        <v>9900</v>
      </c>
    </row>
    <row r="46" spans="1:6" ht="24.95" customHeight="1" x14ac:dyDescent="0.25">
      <c r="A46" s="6">
        <v>34</v>
      </c>
      <c r="B46" s="4" t="s">
        <v>184</v>
      </c>
      <c r="C46" s="3" t="s">
        <v>40</v>
      </c>
      <c r="D46" s="9">
        <v>5</v>
      </c>
      <c r="E46" s="7">
        <v>2255</v>
      </c>
      <c r="F46" s="8">
        <f t="shared" ref="F46:F49" si="3">D46*E46</f>
        <v>11275</v>
      </c>
    </row>
    <row r="47" spans="1:6" ht="24.95" customHeight="1" x14ac:dyDescent="0.25">
      <c r="A47" s="6">
        <v>35</v>
      </c>
      <c r="B47" s="14" t="s">
        <v>195</v>
      </c>
      <c r="C47" s="15" t="s">
        <v>220</v>
      </c>
      <c r="D47" s="9">
        <v>3</v>
      </c>
      <c r="E47" s="7"/>
      <c r="F47" s="43">
        <v>41000</v>
      </c>
    </row>
    <row r="48" spans="1:6" ht="24.95" customHeight="1" x14ac:dyDescent="0.25">
      <c r="A48" s="6">
        <v>36</v>
      </c>
      <c r="B48" s="14" t="s">
        <v>195</v>
      </c>
      <c r="C48" s="15" t="s">
        <v>188</v>
      </c>
      <c r="D48" s="9">
        <v>2</v>
      </c>
      <c r="E48" s="7"/>
      <c r="F48" s="44"/>
    </row>
    <row r="49" spans="1:6" ht="24.95" customHeight="1" x14ac:dyDescent="0.25">
      <c r="A49" s="6">
        <v>37</v>
      </c>
      <c r="B49" s="14" t="s">
        <v>194</v>
      </c>
      <c r="C49" s="15" t="s">
        <v>189</v>
      </c>
      <c r="D49" s="9">
        <v>1</v>
      </c>
      <c r="E49" s="7"/>
      <c r="F49" s="45"/>
    </row>
    <row r="50" spans="1:6" ht="24.95" customHeight="1" x14ac:dyDescent="0.25">
      <c r="A50" s="24"/>
      <c r="B50" s="25"/>
      <c r="C50" s="25"/>
      <c r="D50" s="18" t="s">
        <v>8</v>
      </c>
      <c r="E50" s="19"/>
      <c r="F50" s="13">
        <f>SUM(F45:F49)</f>
        <v>62175</v>
      </c>
    </row>
    <row r="51" spans="1:6" ht="24.95" customHeight="1" x14ac:dyDescent="0.25">
      <c r="A51" s="33" t="s">
        <v>41</v>
      </c>
      <c r="B51" s="34"/>
      <c r="C51" s="34"/>
      <c r="D51" s="34"/>
      <c r="E51" s="34"/>
      <c r="F51" s="35"/>
    </row>
    <row r="52" spans="1:6" ht="24.95" customHeight="1" x14ac:dyDescent="0.25">
      <c r="A52" s="6">
        <v>38</v>
      </c>
      <c r="B52" s="4" t="s">
        <v>42</v>
      </c>
      <c r="C52" s="3" t="s">
        <v>43</v>
      </c>
      <c r="D52" s="9">
        <v>21</v>
      </c>
      <c r="E52" s="7">
        <v>208</v>
      </c>
      <c r="F52" s="8">
        <f>D52*E52</f>
        <v>4368</v>
      </c>
    </row>
    <row r="53" spans="1:6" ht="24.95" customHeight="1" x14ac:dyDescent="0.25">
      <c r="A53" s="6">
        <v>39</v>
      </c>
      <c r="B53" s="4" t="s">
        <v>44</v>
      </c>
      <c r="C53" s="3" t="s">
        <v>43</v>
      </c>
      <c r="D53" s="9">
        <v>13</v>
      </c>
      <c r="E53" s="7">
        <v>297</v>
      </c>
      <c r="F53" s="8">
        <f t="shared" ref="F53:F55" si="4">D53*E53</f>
        <v>3861</v>
      </c>
    </row>
    <row r="54" spans="1:6" ht="24.95" customHeight="1" x14ac:dyDescent="0.25">
      <c r="A54" s="6">
        <v>40</v>
      </c>
      <c r="B54" s="4" t="s">
        <v>45</v>
      </c>
      <c r="C54" s="3" t="s">
        <v>214</v>
      </c>
      <c r="D54" s="9">
        <v>6</v>
      </c>
      <c r="E54" s="7">
        <v>718</v>
      </c>
      <c r="F54" s="8">
        <f t="shared" si="4"/>
        <v>4308</v>
      </c>
    </row>
    <row r="55" spans="1:6" ht="24.95" customHeight="1" x14ac:dyDescent="0.25">
      <c r="A55" s="6">
        <v>41</v>
      </c>
      <c r="B55" s="10" t="s">
        <v>33</v>
      </c>
      <c r="C55" s="3" t="s">
        <v>165</v>
      </c>
      <c r="D55" s="16">
        <v>12</v>
      </c>
      <c r="E55" s="7">
        <v>239.58</v>
      </c>
      <c r="F55" s="8">
        <f t="shared" si="4"/>
        <v>2874.96</v>
      </c>
    </row>
    <row r="56" spans="1:6" ht="24.95" customHeight="1" x14ac:dyDescent="0.25">
      <c r="A56" s="24"/>
      <c r="B56" s="25"/>
      <c r="C56" s="25"/>
      <c r="D56" s="18" t="s">
        <v>8</v>
      </c>
      <c r="E56" s="19"/>
      <c r="F56" s="13">
        <f>SUM(F52:F55)</f>
        <v>15411.96</v>
      </c>
    </row>
    <row r="57" spans="1:6" ht="24.95" customHeight="1" x14ac:dyDescent="0.25">
      <c r="A57" s="33" t="s">
        <v>46</v>
      </c>
      <c r="B57" s="34"/>
      <c r="C57" s="34"/>
      <c r="D57" s="34"/>
      <c r="E57" s="34"/>
      <c r="F57" s="35"/>
    </row>
    <row r="58" spans="1:6" ht="24.95" customHeight="1" x14ac:dyDescent="0.25">
      <c r="A58" s="6">
        <v>42</v>
      </c>
      <c r="B58" s="4" t="s">
        <v>47</v>
      </c>
      <c r="C58" s="9" t="s">
        <v>185</v>
      </c>
      <c r="D58" s="9">
        <v>1</v>
      </c>
      <c r="E58" s="7">
        <v>2686</v>
      </c>
      <c r="F58" s="8">
        <f>D58*E58</f>
        <v>2686</v>
      </c>
    </row>
    <row r="59" spans="1:6" ht="24.95" customHeight="1" x14ac:dyDescent="0.25">
      <c r="A59" s="6">
        <v>43</v>
      </c>
      <c r="B59" s="4" t="s">
        <v>48</v>
      </c>
      <c r="C59" s="9" t="s">
        <v>185</v>
      </c>
      <c r="D59" s="9">
        <v>1</v>
      </c>
      <c r="E59" s="7">
        <v>2686</v>
      </c>
      <c r="F59" s="8">
        <f t="shared" ref="F59:F61" si="5">D59*E59</f>
        <v>2686</v>
      </c>
    </row>
    <row r="60" spans="1:6" ht="24.95" customHeight="1" x14ac:dyDescent="0.25">
      <c r="A60" s="6">
        <v>44</v>
      </c>
      <c r="B60" s="4" t="s">
        <v>49</v>
      </c>
      <c r="C60" s="9" t="s">
        <v>185</v>
      </c>
      <c r="D60" s="9">
        <v>6</v>
      </c>
      <c r="E60" s="7">
        <v>2686</v>
      </c>
      <c r="F60" s="8">
        <f t="shared" si="5"/>
        <v>16116</v>
      </c>
    </row>
    <row r="61" spans="1:6" ht="24.95" customHeight="1" x14ac:dyDescent="0.25">
      <c r="A61" s="6">
        <v>45</v>
      </c>
      <c r="B61" s="4" t="s">
        <v>50</v>
      </c>
      <c r="C61" s="9" t="s">
        <v>186</v>
      </c>
      <c r="D61" s="9">
        <v>1</v>
      </c>
      <c r="E61" s="7">
        <v>1615</v>
      </c>
      <c r="F61" s="8">
        <f t="shared" si="5"/>
        <v>1615</v>
      </c>
    </row>
    <row r="62" spans="1:6" ht="24.95" customHeight="1" x14ac:dyDescent="0.25">
      <c r="A62" s="24"/>
      <c r="B62" s="25"/>
      <c r="C62" s="25"/>
      <c r="D62" s="18" t="s">
        <v>8</v>
      </c>
      <c r="E62" s="19"/>
      <c r="F62" s="13">
        <f>SUM(F58:F61)</f>
        <v>23103</v>
      </c>
    </row>
    <row r="63" spans="1:6" ht="24.95" customHeight="1" x14ac:dyDescent="0.25">
      <c r="A63" s="33" t="s">
        <v>51</v>
      </c>
      <c r="B63" s="34"/>
      <c r="C63" s="34"/>
      <c r="D63" s="34"/>
      <c r="E63" s="34"/>
      <c r="F63" s="35"/>
    </row>
    <row r="64" spans="1:6" ht="24.95" customHeight="1" x14ac:dyDescent="0.25">
      <c r="A64" s="6">
        <v>46</v>
      </c>
      <c r="B64" s="4" t="s">
        <v>224</v>
      </c>
      <c r="C64" s="4" t="s">
        <v>187</v>
      </c>
      <c r="D64" s="9">
        <v>24</v>
      </c>
      <c r="E64" s="7">
        <v>1474</v>
      </c>
      <c r="F64" s="8">
        <f>D64*E64</f>
        <v>35376</v>
      </c>
    </row>
    <row r="65" spans="1:6" ht="24.95" customHeight="1" x14ac:dyDescent="0.25">
      <c r="A65" s="6">
        <v>47</v>
      </c>
      <c r="B65" s="4" t="s">
        <v>224</v>
      </c>
      <c r="C65" s="4" t="s">
        <v>234</v>
      </c>
      <c r="D65" s="9">
        <v>3</v>
      </c>
      <c r="E65" s="7">
        <v>890</v>
      </c>
      <c r="F65" s="8">
        <f>D65*E65</f>
        <v>2670</v>
      </c>
    </row>
    <row r="66" spans="1:6" ht="24.95" customHeight="1" x14ac:dyDescent="0.25">
      <c r="A66" s="6">
        <v>48</v>
      </c>
      <c r="B66" s="4" t="s">
        <v>222</v>
      </c>
      <c r="C66" s="4" t="s">
        <v>223</v>
      </c>
      <c r="D66" s="9">
        <v>14</v>
      </c>
      <c r="E66" s="7">
        <v>175</v>
      </c>
      <c r="F66" s="8">
        <f t="shared" ref="F66:F69" si="6">D66*E66</f>
        <v>2450</v>
      </c>
    </row>
    <row r="67" spans="1:6" ht="24.95" customHeight="1" x14ac:dyDescent="0.25">
      <c r="A67" s="6">
        <v>49</v>
      </c>
      <c r="B67" s="4" t="s">
        <v>225</v>
      </c>
      <c r="C67" s="4" t="s">
        <v>226</v>
      </c>
      <c r="D67" s="9">
        <v>36</v>
      </c>
      <c r="E67" s="7">
        <v>600</v>
      </c>
      <c r="F67" s="8">
        <f t="shared" si="6"/>
        <v>21600</v>
      </c>
    </row>
    <row r="68" spans="1:6" ht="24.95" customHeight="1" x14ac:dyDescent="0.25">
      <c r="A68" s="6">
        <v>50</v>
      </c>
      <c r="B68" s="4" t="s">
        <v>227</v>
      </c>
      <c r="C68" s="4" t="s">
        <v>29</v>
      </c>
      <c r="D68" s="9">
        <v>5</v>
      </c>
      <c r="E68" s="7">
        <v>143</v>
      </c>
      <c r="F68" s="8">
        <f t="shared" si="6"/>
        <v>715</v>
      </c>
    </row>
    <row r="69" spans="1:6" ht="24.95" customHeight="1" x14ac:dyDescent="0.25">
      <c r="A69" s="6">
        <v>51</v>
      </c>
      <c r="B69" s="4" t="s">
        <v>228</v>
      </c>
      <c r="C69" s="4"/>
      <c r="D69" s="9">
        <v>150</v>
      </c>
      <c r="E69" s="7">
        <v>23.81</v>
      </c>
      <c r="F69" s="8">
        <f t="shared" si="6"/>
        <v>3571.5</v>
      </c>
    </row>
    <row r="70" spans="1:6" ht="24.95" customHeight="1" x14ac:dyDescent="0.25">
      <c r="A70" s="6">
        <v>52</v>
      </c>
      <c r="B70" s="4" t="s">
        <v>53</v>
      </c>
      <c r="C70" s="4" t="s">
        <v>29</v>
      </c>
      <c r="D70" s="9">
        <v>2</v>
      </c>
      <c r="E70" s="7">
        <v>143</v>
      </c>
      <c r="F70" s="8">
        <f t="shared" ref="F70:F73" si="7">D70*E70</f>
        <v>286</v>
      </c>
    </row>
    <row r="71" spans="1:6" ht="24.95" customHeight="1" x14ac:dyDescent="0.25">
      <c r="A71" s="6">
        <v>53</v>
      </c>
      <c r="B71" s="4" t="s">
        <v>54</v>
      </c>
      <c r="C71" s="3" t="s">
        <v>55</v>
      </c>
      <c r="D71" s="9">
        <v>30</v>
      </c>
      <c r="E71" s="7">
        <v>157</v>
      </c>
      <c r="F71" s="8">
        <f t="shared" si="7"/>
        <v>4710</v>
      </c>
    </row>
    <row r="72" spans="1:6" ht="24.95" customHeight="1" x14ac:dyDescent="0.25">
      <c r="A72" s="6">
        <v>54</v>
      </c>
      <c r="B72" s="4" t="s">
        <v>54</v>
      </c>
      <c r="C72" s="3" t="s">
        <v>56</v>
      </c>
      <c r="D72" s="9">
        <v>55</v>
      </c>
      <c r="E72" s="7">
        <v>112</v>
      </c>
      <c r="F72" s="8">
        <f t="shared" si="7"/>
        <v>6160</v>
      </c>
    </row>
    <row r="73" spans="1:6" ht="24.95" customHeight="1" x14ac:dyDescent="0.25">
      <c r="A73" s="6">
        <v>55</v>
      </c>
      <c r="B73" s="4" t="s">
        <v>160</v>
      </c>
      <c r="C73" s="3" t="s">
        <v>57</v>
      </c>
      <c r="D73" s="9">
        <v>8</v>
      </c>
      <c r="E73" s="7">
        <v>690</v>
      </c>
      <c r="F73" s="8">
        <f t="shared" si="7"/>
        <v>5520</v>
      </c>
    </row>
    <row r="74" spans="1:6" ht="24.95" customHeight="1" x14ac:dyDescent="0.25">
      <c r="A74" s="24"/>
      <c r="B74" s="25"/>
      <c r="C74" s="25"/>
      <c r="D74" s="18" t="s">
        <v>8</v>
      </c>
      <c r="E74" s="19"/>
      <c r="F74" s="13">
        <f>SUM(F64:F73)</f>
        <v>83058.5</v>
      </c>
    </row>
    <row r="75" spans="1:6" ht="24.95" customHeight="1" x14ac:dyDescent="0.25">
      <c r="A75" s="33" t="s">
        <v>58</v>
      </c>
      <c r="B75" s="34"/>
      <c r="C75" s="34"/>
      <c r="D75" s="34"/>
      <c r="E75" s="34"/>
      <c r="F75" s="35"/>
    </row>
    <row r="76" spans="1:6" ht="24.95" customHeight="1" x14ac:dyDescent="0.25">
      <c r="A76" s="6">
        <v>56</v>
      </c>
      <c r="B76" s="4" t="s">
        <v>59</v>
      </c>
      <c r="C76" s="3"/>
      <c r="D76" s="9">
        <v>6</v>
      </c>
      <c r="E76" s="7">
        <v>366</v>
      </c>
      <c r="F76" s="8">
        <f t="shared" ref="F76:F89" si="8">D76*E76</f>
        <v>2196</v>
      </c>
    </row>
    <row r="77" spans="1:6" ht="24.95" customHeight="1" x14ac:dyDescent="0.25">
      <c r="A77" s="6">
        <v>57</v>
      </c>
      <c r="B77" s="4" t="s">
        <v>60</v>
      </c>
      <c r="C77" s="3" t="s">
        <v>61</v>
      </c>
      <c r="D77" s="9">
        <v>2</v>
      </c>
      <c r="E77" s="7">
        <v>91</v>
      </c>
      <c r="F77" s="8">
        <f t="shared" si="8"/>
        <v>182</v>
      </c>
    </row>
    <row r="78" spans="1:6" ht="24.95" customHeight="1" x14ac:dyDescent="0.25">
      <c r="A78" s="6">
        <v>58</v>
      </c>
      <c r="B78" s="4" t="s">
        <v>62</v>
      </c>
      <c r="C78" s="3" t="s">
        <v>6</v>
      </c>
      <c r="D78" s="9">
        <v>14</v>
      </c>
      <c r="E78" s="7">
        <v>16.5</v>
      </c>
      <c r="F78" s="8">
        <f t="shared" si="8"/>
        <v>231</v>
      </c>
    </row>
    <row r="79" spans="1:6" ht="24.95" customHeight="1" x14ac:dyDescent="0.25">
      <c r="A79" s="6">
        <v>59</v>
      </c>
      <c r="B79" s="4" t="s">
        <v>63</v>
      </c>
      <c r="C79" s="3" t="s">
        <v>64</v>
      </c>
      <c r="D79" s="9">
        <v>150</v>
      </c>
      <c r="E79" s="7">
        <v>75</v>
      </c>
      <c r="F79" s="8">
        <f t="shared" si="8"/>
        <v>11250</v>
      </c>
    </row>
    <row r="80" spans="1:6" ht="24.95" customHeight="1" x14ac:dyDescent="0.25">
      <c r="A80" s="6">
        <v>60</v>
      </c>
      <c r="B80" s="4" t="s">
        <v>63</v>
      </c>
      <c r="C80" s="3" t="s">
        <v>65</v>
      </c>
      <c r="D80" s="9">
        <v>120</v>
      </c>
      <c r="E80" s="7">
        <v>35.700000000000003</v>
      </c>
      <c r="F80" s="8">
        <f t="shared" si="8"/>
        <v>4284</v>
      </c>
    </row>
    <row r="81" spans="1:6" ht="24.95" customHeight="1" x14ac:dyDescent="0.25">
      <c r="A81" s="6">
        <v>61</v>
      </c>
      <c r="B81" s="4" t="s">
        <v>146</v>
      </c>
      <c r="C81" s="3" t="s">
        <v>6</v>
      </c>
      <c r="D81" s="9">
        <v>22</v>
      </c>
      <c r="E81" s="7">
        <v>10.199999999999999</v>
      </c>
      <c r="F81" s="8">
        <f t="shared" si="8"/>
        <v>224.39999999999998</v>
      </c>
    </row>
    <row r="82" spans="1:6" ht="24.95" customHeight="1" x14ac:dyDescent="0.25">
      <c r="A82" s="6">
        <v>62</v>
      </c>
      <c r="B82" s="4" t="s">
        <v>67</v>
      </c>
      <c r="C82" s="3" t="s">
        <v>68</v>
      </c>
      <c r="D82" s="9">
        <v>4</v>
      </c>
      <c r="E82" s="7">
        <v>80.25</v>
      </c>
      <c r="F82" s="8">
        <f t="shared" si="8"/>
        <v>321</v>
      </c>
    </row>
    <row r="83" spans="1:6" ht="24.95" customHeight="1" x14ac:dyDescent="0.25">
      <c r="A83" s="6">
        <v>63</v>
      </c>
      <c r="B83" s="4" t="s">
        <v>69</v>
      </c>
      <c r="C83" s="3" t="s">
        <v>68</v>
      </c>
      <c r="D83" s="9">
        <v>2</v>
      </c>
      <c r="E83" s="7">
        <v>99.48</v>
      </c>
      <c r="F83" s="8">
        <f t="shared" si="8"/>
        <v>198.96</v>
      </c>
    </row>
    <row r="84" spans="1:6" ht="24.95" customHeight="1" x14ac:dyDescent="0.25">
      <c r="A84" s="6">
        <v>64</v>
      </c>
      <c r="B84" s="4" t="s">
        <v>70</v>
      </c>
      <c r="C84" s="3" t="s">
        <v>68</v>
      </c>
      <c r="D84" s="9">
        <v>16</v>
      </c>
      <c r="E84" s="7">
        <v>102.83</v>
      </c>
      <c r="F84" s="8">
        <f t="shared" si="8"/>
        <v>1645.28</v>
      </c>
    </row>
    <row r="85" spans="1:6" ht="24.95" customHeight="1" x14ac:dyDescent="0.25">
      <c r="A85" s="6">
        <v>65</v>
      </c>
      <c r="B85" s="4" t="s">
        <v>71</v>
      </c>
      <c r="C85" s="3" t="s">
        <v>72</v>
      </c>
      <c r="D85" s="9">
        <v>1</v>
      </c>
      <c r="E85" s="7">
        <v>217</v>
      </c>
      <c r="F85" s="8">
        <f t="shared" si="8"/>
        <v>217</v>
      </c>
    </row>
    <row r="86" spans="1:6" ht="24.95" customHeight="1" x14ac:dyDescent="0.25">
      <c r="A86" s="6">
        <v>66</v>
      </c>
      <c r="B86" s="4" t="s">
        <v>73</v>
      </c>
      <c r="C86" s="3" t="s">
        <v>74</v>
      </c>
      <c r="D86" s="9">
        <v>8</v>
      </c>
      <c r="E86" s="7">
        <v>82.9</v>
      </c>
      <c r="F86" s="8">
        <f t="shared" si="8"/>
        <v>663.2</v>
      </c>
    </row>
    <row r="87" spans="1:6" ht="24.95" customHeight="1" x14ac:dyDescent="0.25">
      <c r="A87" s="6">
        <v>67</v>
      </c>
      <c r="B87" s="4" t="s">
        <v>75</v>
      </c>
      <c r="C87" s="3" t="s">
        <v>76</v>
      </c>
      <c r="D87" s="9">
        <v>1</v>
      </c>
      <c r="E87" s="7">
        <v>905</v>
      </c>
      <c r="F87" s="8">
        <f t="shared" si="8"/>
        <v>905</v>
      </c>
    </row>
    <row r="88" spans="1:6" ht="24.95" customHeight="1" x14ac:dyDescent="0.25">
      <c r="A88" s="6">
        <v>68</v>
      </c>
      <c r="B88" s="4" t="s">
        <v>77</v>
      </c>
      <c r="C88" s="3" t="s">
        <v>6</v>
      </c>
      <c r="D88" s="9">
        <v>5</v>
      </c>
      <c r="E88" s="7">
        <v>16.5</v>
      </c>
      <c r="F88" s="8">
        <f t="shared" si="8"/>
        <v>82.5</v>
      </c>
    </row>
    <row r="89" spans="1:6" ht="24.95" customHeight="1" x14ac:dyDescent="0.25">
      <c r="A89" s="6">
        <v>69</v>
      </c>
      <c r="B89" s="4" t="s">
        <v>78</v>
      </c>
      <c r="C89" s="3" t="s">
        <v>6</v>
      </c>
      <c r="D89" s="9">
        <v>1</v>
      </c>
      <c r="E89" s="7">
        <v>167</v>
      </c>
      <c r="F89" s="8">
        <f t="shared" si="8"/>
        <v>167</v>
      </c>
    </row>
    <row r="90" spans="1:6" ht="24.95" customHeight="1" x14ac:dyDescent="0.25">
      <c r="A90" s="24"/>
      <c r="B90" s="25"/>
      <c r="C90" s="25"/>
      <c r="D90" s="18" t="s">
        <v>8</v>
      </c>
      <c r="E90" s="19"/>
      <c r="F90" s="13">
        <f>SUM(F76:F89)</f>
        <v>22567.34</v>
      </c>
    </row>
    <row r="91" spans="1:6" ht="24.95" customHeight="1" x14ac:dyDescent="0.25">
      <c r="A91" s="33" t="s">
        <v>84</v>
      </c>
      <c r="B91" s="34"/>
      <c r="C91" s="34"/>
      <c r="D91" s="34"/>
      <c r="E91" s="34"/>
      <c r="F91" s="35"/>
    </row>
    <row r="92" spans="1:6" ht="24.95" customHeight="1" x14ac:dyDescent="0.25">
      <c r="A92" s="6">
        <v>70</v>
      </c>
      <c r="B92" s="4" t="s">
        <v>200</v>
      </c>
      <c r="C92" s="3" t="s">
        <v>6</v>
      </c>
      <c r="D92" s="9">
        <v>500</v>
      </c>
      <c r="E92" s="7">
        <v>0.4</v>
      </c>
      <c r="F92" s="8">
        <f t="shared" ref="F92" si="9">D92*E92</f>
        <v>200</v>
      </c>
    </row>
    <row r="93" spans="1:6" ht="24.95" customHeight="1" x14ac:dyDescent="0.25">
      <c r="A93" s="6">
        <v>71</v>
      </c>
      <c r="B93" s="4" t="s">
        <v>80</v>
      </c>
      <c r="C93" s="3" t="s">
        <v>175</v>
      </c>
      <c r="D93" s="9">
        <v>800</v>
      </c>
      <c r="E93" s="7">
        <v>0.43</v>
      </c>
      <c r="F93" s="8">
        <f t="shared" ref="F93:F98" si="10">D93*E93</f>
        <v>344</v>
      </c>
    </row>
    <row r="94" spans="1:6" ht="24.95" customHeight="1" x14ac:dyDescent="0.25">
      <c r="A94" s="6">
        <v>72</v>
      </c>
      <c r="B94" s="4" t="s">
        <v>81</v>
      </c>
      <c r="C94" s="3" t="s">
        <v>79</v>
      </c>
      <c r="D94" s="9">
        <v>600</v>
      </c>
      <c r="E94" s="7">
        <v>0.44</v>
      </c>
      <c r="F94" s="8">
        <f t="shared" si="10"/>
        <v>264</v>
      </c>
    </row>
    <row r="95" spans="1:6" ht="24.95" customHeight="1" x14ac:dyDescent="0.25">
      <c r="A95" s="6">
        <v>73</v>
      </c>
      <c r="B95" s="4" t="s">
        <v>164</v>
      </c>
      <c r="C95" s="3" t="s">
        <v>147</v>
      </c>
      <c r="D95" s="11">
        <v>200</v>
      </c>
      <c r="E95" s="7">
        <v>1.05</v>
      </c>
      <c r="F95" s="8">
        <f t="shared" si="10"/>
        <v>210</v>
      </c>
    </row>
    <row r="96" spans="1:6" ht="24.95" customHeight="1" x14ac:dyDescent="0.25">
      <c r="A96" s="6">
        <v>74</v>
      </c>
      <c r="B96" s="4" t="s">
        <v>82</v>
      </c>
      <c r="C96" s="3" t="s">
        <v>147</v>
      </c>
      <c r="D96" s="9">
        <v>1000</v>
      </c>
      <c r="E96" s="7">
        <v>1.2</v>
      </c>
      <c r="F96" s="8">
        <f t="shared" si="10"/>
        <v>1200</v>
      </c>
    </row>
    <row r="97" spans="1:6" ht="24.95" customHeight="1" x14ac:dyDescent="0.25">
      <c r="A97" s="6">
        <v>75</v>
      </c>
      <c r="B97" s="4" t="s">
        <v>229</v>
      </c>
      <c r="C97" s="3" t="s">
        <v>79</v>
      </c>
      <c r="D97" s="11">
        <v>1000</v>
      </c>
      <c r="E97" s="12">
        <v>2.15</v>
      </c>
      <c r="F97" s="8">
        <f t="shared" si="10"/>
        <v>2150</v>
      </c>
    </row>
    <row r="98" spans="1:6" ht="24.95" customHeight="1" x14ac:dyDescent="0.25">
      <c r="A98" s="6">
        <v>76</v>
      </c>
      <c r="B98" s="4" t="s">
        <v>83</v>
      </c>
      <c r="C98" s="3" t="s">
        <v>6</v>
      </c>
      <c r="D98" s="9">
        <v>30</v>
      </c>
      <c r="E98" s="7">
        <v>9</v>
      </c>
      <c r="F98" s="8">
        <f t="shared" si="10"/>
        <v>270</v>
      </c>
    </row>
    <row r="99" spans="1:6" ht="24.95" customHeight="1" x14ac:dyDescent="0.25">
      <c r="A99" s="24"/>
      <c r="B99" s="25"/>
      <c r="C99" s="25"/>
      <c r="D99" s="18" t="s">
        <v>8</v>
      </c>
      <c r="E99" s="19"/>
      <c r="F99" s="13">
        <f>SUM(F92:F98)</f>
        <v>4638</v>
      </c>
    </row>
    <row r="100" spans="1:6" ht="24.95" customHeight="1" x14ac:dyDescent="0.25">
      <c r="A100" s="33" t="s">
        <v>85</v>
      </c>
      <c r="B100" s="34"/>
      <c r="C100" s="34"/>
      <c r="D100" s="34"/>
      <c r="E100" s="34"/>
      <c r="F100" s="35"/>
    </row>
    <row r="101" spans="1:6" ht="24.95" customHeight="1" x14ac:dyDescent="0.25">
      <c r="A101" s="6">
        <v>77</v>
      </c>
      <c r="B101" s="4" t="s">
        <v>86</v>
      </c>
      <c r="C101" s="3" t="s">
        <v>196</v>
      </c>
      <c r="D101" s="9">
        <v>6</v>
      </c>
      <c r="E101" s="7">
        <v>56.25</v>
      </c>
      <c r="F101" s="8">
        <f t="shared" ref="F101:F105" si="11">D101*E101</f>
        <v>337.5</v>
      </c>
    </row>
    <row r="102" spans="1:6" ht="24.95" customHeight="1" x14ac:dyDescent="0.25">
      <c r="A102" s="6">
        <v>78</v>
      </c>
      <c r="B102" s="4" t="s">
        <v>86</v>
      </c>
      <c r="C102" s="3" t="s">
        <v>197</v>
      </c>
      <c r="D102" s="9">
        <v>11</v>
      </c>
      <c r="E102" s="7">
        <v>37.5</v>
      </c>
      <c r="F102" s="8">
        <f t="shared" si="11"/>
        <v>412.5</v>
      </c>
    </row>
    <row r="103" spans="1:6" ht="24.95" customHeight="1" x14ac:dyDescent="0.25">
      <c r="A103" s="6">
        <v>79</v>
      </c>
      <c r="B103" s="4" t="s">
        <v>87</v>
      </c>
      <c r="C103" s="3" t="s">
        <v>213</v>
      </c>
      <c r="D103" s="9">
        <v>23</v>
      </c>
      <c r="E103" s="7">
        <v>30</v>
      </c>
      <c r="F103" s="8">
        <f t="shared" si="11"/>
        <v>690</v>
      </c>
    </row>
    <row r="104" spans="1:6" ht="24.95" customHeight="1" x14ac:dyDescent="0.25">
      <c r="A104" s="6">
        <v>80</v>
      </c>
      <c r="B104" s="4" t="s">
        <v>88</v>
      </c>
      <c r="C104" s="3" t="s">
        <v>89</v>
      </c>
      <c r="D104" s="9">
        <v>4</v>
      </c>
      <c r="E104" s="7">
        <v>36</v>
      </c>
      <c r="F104" s="8">
        <f t="shared" si="11"/>
        <v>144</v>
      </c>
    </row>
    <row r="105" spans="1:6" ht="24.95" customHeight="1" x14ac:dyDescent="0.25">
      <c r="A105" s="6">
        <v>81</v>
      </c>
      <c r="B105" s="4" t="s">
        <v>198</v>
      </c>
      <c r="C105" s="3" t="s">
        <v>176</v>
      </c>
      <c r="D105" s="9">
        <v>90</v>
      </c>
      <c r="E105" s="7">
        <v>22</v>
      </c>
      <c r="F105" s="8">
        <f t="shared" si="11"/>
        <v>1980</v>
      </c>
    </row>
    <row r="106" spans="1:6" ht="24.95" customHeight="1" x14ac:dyDescent="0.25">
      <c r="A106" s="24"/>
      <c r="B106" s="25"/>
      <c r="C106" s="25"/>
      <c r="D106" s="18" t="s">
        <v>8</v>
      </c>
      <c r="E106" s="19"/>
      <c r="F106" s="13">
        <f>SUM(F101:F105)</f>
        <v>3564</v>
      </c>
    </row>
    <row r="107" spans="1:6" ht="24.95" customHeight="1" x14ac:dyDescent="0.25">
      <c r="A107" s="36" t="s">
        <v>90</v>
      </c>
      <c r="B107" s="37"/>
      <c r="C107" s="37"/>
      <c r="D107" s="37"/>
      <c r="E107" s="37"/>
      <c r="F107" s="38"/>
    </row>
    <row r="108" spans="1:6" ht="24.95" customHeight="1" x14ac:dyDescent="0.25">
      <c r="A108" s="6">
        <v>90</v>
      </c>
      <c r="B108" s="4" t="s">
        <v>91</v>
      </c>
      <c r="C108" s="3" t="s">
        <v>92</v>
      </c>
      <c r="D108" s="9">
        <v>10</v>
      </c>
      <c r="E108" s="7">
        <v>127</v>
      </c>
      <c r="F108" s="8">
        <f>D108*E108</f>
        <v>1270</v>
      </c>
    </row>
    <row r="109" spans="1:6" ht="24.95" customHeight="1" x14ac:dyDescent="0.25">
      <c r="A109" s="6">
        <v>91</v>
      </c>
      <c r="B109" s="4" t="s">
        <v>93</v>
      </c>
      <c r="C109" s="3" t="s">
        <v>94</v>
      </c>
      <c r="D109" s="9">
        <v>20</v>
      </c>
      <c r="E109" s="7">
        <v>4.5999999999999996</v>
      </c>
      <c r="F109" s="8">
        <f t="shared" ref="F109:F130" si="12">D109*E109</f>
        <v>92</v>
      </c>
    </row>
    <row r="110" spans="1:6" ht="24.95" customHeight="1" x14ac:dyDescent="0.25">
      <c r="A110" s="6">
        <v>92</v>
      </c>
      <c r="B110" s="4" t="s">
        <v>95</v>
      </c>
      <c r="C110" s="3" t="s">
        <v>94</v>
      </c>
      <c r="D110" s="9">
        <v>12</v>
      </c>
      <c r="E110" s="7">
        <v>40.25</v>
      </c>
      <c r="F110" s="8">
        <f t="shared" si="12"/>
        <v>483</v>
      </c>
    </row>
    <row r="111" spans="1:6" ht="24.95" customHeight="1" x14ac:dyDescent="0.25">
      <c r="A111" s="6">
        <v>93</v>
      </c>
      <c r="B111" s="4" t="s">
        <v>96</v>
      </c>
      <c r="C111" s="3" t="s">
        <v>94</v>
      </c>
      <c r="D111" s="11">
        <v>12</v>
      </c>
      <c r="E111" s="7">
        <v>5.75</v>
      </c>
      <c r="F111" s="8">
        <f t="shared" si="12"/>
        <v>69</v>
      </c>
    </row>
    <row r="112" spans="1:6" ht="24.95" customHeight="1" x14ac:dyDescent="0.25">
      <c r="A112" s="6">
        <v>94</v>
      </c>
      <c r="B112" s="4" t="s">
        <v>97</v>
      </c>
      <c r="C112" s="3" t="s">
        <v>94</v>
      </c>
      <c r="D112" s="9">
        <v>5</v>
      </c>
      <c r="E112" s="7">
        <v>43.7</v>
      </c>
      <c r="F112" s="8">
        <f t="shared" si="12"/>
        <v>218.5</v>
      </c>
    </row>
    <row r="113" spans="1:6" ht="24.95" customHeight="1" x14ac:dyDescent="0.25">
      <c r="A113" s="6">
        <v>95</v>
      </c>
      <c r="B113" s="4" t="s">
        <v>98</v>
      </c>
      <c r="C113" s="3" t="s">
        <v>177</v>
      </c>
      <c r="D113" s="9">
        <v>5</v>
      </c>
      <c r="E113" s="7">
        <v>17.25</v>
      </c>
      <c r="F113" s="8">
        <f t="shared" si="12"/>
        <v>86.25</v>
      </c>
    </row>
    <row r="114" spans="1:6" ht="24.95" customHeight="1" x14ac:dyDescent="0.25">
      <c r="A114" s="6">
        <v>96</v>
      </c>
      <c r="B114" s="4" t="s">
        <v>99</v>
      </c>
      <c r="C114" s="3" t="s">
        <v>94</v>
      </c>
      <c r="D114" s="9">
        <v>5</v>
      </c>
      <c r="E114" s="7">
        <v>4.5999999999999996</v>
      </c>
      <c r="F114" s="8">
        <f t="shared" si="12"/>
        <v>23</v>
      </c>
    </row>
    <row r="115" spans="1:6" ht="24.95" customHeight="1" x14ac:dyDescent="0.25">
      <c r="A115" s="6">
        <v>97</v>
      </c>
      <c r="B115" s="4" t="s">
        <v>100</v>
      </c>
      <c r="C115" s="3" t="s">
        <v>52</v>
      </c>
      <c r="D115" s="9">
        <v>1</v>
      </c>
      <c r="E115" s="7">
        <v>46</v>
      </c>
      <c r="F115" s="8">
        <f t="shared" si="12"/>
        <v>46</v>
      </c>
    </row>
    <row r="116" spans="1:6" ht="24.95" customHeight="1" x14ac:dyDescent="0.25">
      <c r="A116" s="6">
        <v>98</v>
      </c>
      <c r="B116" s="4" t="s">
        <v>101</v>
      </c>
      <c r="C116" s="3" t="s">
        <v>102</v>
      </c>
      <c r="D116" s="9">
        <v>1</v>
      </c>
      <c r="E116" s="7">
        <v>56.35</v>
      </c>
      <c r="F116" s="8">
        <f t="shared" si="12"/>
        <v>56.35</v>
      </c>
    </row>
    <row r="117" spans="1:6" ht="24.95" customHeight="1" x14ac:dyDescent="0.25">
      <c r="A117" s="6">
        <v>99</v>
      </c>
      <c r="B117" s="4" t="s">
        <v>103</v>
      </c>
      <c r="C117" s="3" t="s">
        <v>104</v>
      </c>
      <c r="D117" s="9">
        <v>1</v>
      </c>
      <c r="E117" s="7">
        <v>80.5</v>
      </c>
      <c r="F117" s="8">
        <f t="shared" si="12"/>
        <v>80.5</v>
      </c>
    </row>
    <row r="118" spans="1:6" ht="24.95" customHeight="1" x14ac:dyDescent="0.25">
      <c r="A118" s="6">
        <v>100</v>
      </c>
      <c r="B118" s="4" t="s">
        <v>108</v>
      </c>
      <c r="C118" s="3" t="s">
        <v>109</v>
      </c>
      <c r="D118" s="9">
        <v>1</v>
      </c>
      <c r="E118" s="7">
        <v>115</v>
      </c>
      <c r="F118" s="8">
        <f t="shared" si="12"/>
        <v>115</v>
      </c>
    </row>
    <row r="119" spans="1:6" ht="24.95" customHeight="1" x14ac:dyDescent="0.25">
      <c r="A119" s="6">
        <v>101</v>
      </c>
      <c r="B119" s="4" t="s">
        <v>111</v>
      </c>
      <c r="C119" s="3" t="s">
        <v>112</v>
      </c>
      <c r="D119" s="9">
        <v>4</v>
      </c>
      <c r="E119" s="7">
        <v>51.75</v>
      </c>
      <c r="F119" s="8">
        <f t="shared" si="12"/>
        <v>207</v>
      </c>
    </row>
    <row r="120" spans="1:6" ht="24.95" customHeight="1" x14ac:dyDescent="0.25">
      <c r="A120" s="6">
        <v>102</v>
      </c>
      <c r="B120" s="4" t="s">
        <v>111</v>
      </c>
      <c r="C120" s="3" t="s">
        <v>113</v>
      </c>
      <c r="D120" s="9">
        <v>4</v>
      </c>
      <c r="E120" s="7">
        <v>80.5</v>
      </c>
      <c r="F120" s="8">
        <f t="shared" si="12"/>
        <v>322</v>
      </c>
    </row>
    <row r="121" spans="1:6" ht="24.95" customHeight="1" x14ac:dyDescent="0.25">
      <c r="A121" s="6">
        <v>103</v>
      </c>
      <c r="B121" s="4" t="s">
        <v>103</v>
      </c>
      <c r="C121" s="3" t="s">
        <v>116</v>
      </c>
      <c r="D121" s="9">
        <v>4</v>
      </c>
      <c r="E121" s="7">
        <v>36.799999999999997</v>
      </c>
      <c r="F121" s="8">
        <f t="shared" si="12"/>
        <v>147.19999999999999</v>
      </c>
    </row>
    <row r="122" spans="1:6" ht="24.95" customHeight="1" x14ac:dyDescent="0.25">
      <c r="A122" s="6">
        <v>104</v>
      </c>
      <c r="B122" s="4" t="s">
        <v>117</v>
      </c>
      <c r="C122" s="3" t="s">
        <v>118</v>
      </c>
      <c r="D122" s="9">
        <v>8</v>
      </c>
      <c r="E122" s="7">
        <v>17.25</v>
      </c>
      <c r="F122" s="8">
        <f t="shared" si="12"/>
        <v>138</v>
      </c>
    </row>
    <row r="123" spans="1:6" ht="24.95" customHeight="1" x14ac:dyDescent="0.25">
      <c r="A123" s="6">
        <v>105</v>
      </c>
      <c r="B123" s="4" t="s">
        <v>117</v>
      </c>
      <c r="C123" s="3" t="s">
        <v>119</v>
      </c>
      <c r="D123" s="9">
        <v>4</v>
      </c>
      <c r="E123" s="7">
        <v>19.55</v>
      </c>
      <c r="F123" s="8">
        <f t="shared" si="12"/>
        <v>78.2</v>
      </c>
    </row>
    <row r="124" spans="1:6" ht="24.95" customHeight="1" x14ac:dyDescent="0.25">
      <c r="A124" s="6">
        <v>106</v>
      </c>
      <c r="B124" s="4" t="s">
        <v>120</v>
      </c>
      <c r="C124" s="3" t="s">
        <v>6</v>
      </c>
      <c r="D124" s="9">
        <v>18</v>
      </c>
      <c r="E124" s="7">
        <v>13.8</v>
      </c>
      <c r="F124" s="8">
        <f t="shared" si="12"/>
        <v>248.4</v>
      </c>
    </row>
    <row r="125" spans="1:6" ht="24.95" customHeight="1" x14ac:dyDescent="0.25">
      <c r="A125" s="6">
        <v>107</v>
      </c>
      <c r="B125" s="4" t="s">
        <v>121</v>
      </c>
      <c r="C125" s="3" t="s">
        <v>171</v>
      </c>
      <c r="D125" s="9">
        <v>1</v>
      </c>
      <c r="E125" s="12">
        <v>115</v>
      </c>
      <c r="F125" s="8">
        <f t="shared" si="12"/>
        <v>115</v>
      </c>
    </row>
    <row r="126" spans="1:6" ht="24.95" customHeight="1" x14ac:dyDescent="0.25">
      <c r="A126" s="6">
        <v>108</v>
      </c>
      <c r="B126" s="4" t="s">
        <v>126</v>
      </c>
      <c r="C126" s="3" t="s">
        <v>237</v>
      </c>
      <c r="D126" s="9">
        <v>1</v>
      </c>
      <c r="E126" s="7">
        <v>4220</v>
      </c>
      <c r="F126" s="8">
        <f t="shared" si="12"/>
        <v>4220</v>
      </c>
    </row>
    <row r="127" spans="1:6" ht="24.95" customHeight="1" x14ac:dyDescent="0.25">
      <c r="A127" s="6">
        <v>109</v>
      </c>
      <c r="B127" s="4" t="s">
        <v>127</v>
      </c>
      <c r="C127" s="3" t="s">
        <v>237</v>
      </c>
      <c r="D127" s="9">
        <v>1</v>
      </c>
      <c r="E127" s="7">
        <v>3860</v>
      </c>
      <c r="F127" s="8">
        <f t="shared" si="12"/>
        <v>3860</v>
      </c>
    </row>
    <row r="128" spans="1:6" ht="24.95" customHeight="1" x14ac:dyDescent="0.25">
      <c r="A128" s="6">
        <v>110</v>
      </c>
      <c r="B128" s="4" t="s">
        <v>123</v>
      </c>
      <c r="C128" s="3" t="s">
        <v>6</v>
      </c>
      <c r="D128" s="9">
        <v>5</v>
      </c>
      <c r="E128" s="7">
        <v>23</v>
      </c>
      <c r="F128" s="8">
        <f t="shared" si="12"/>
        <v>115</v>
      </c>
    </row>
    <row r="129" spans="1:6" ht="24.95" customHeight="1" x14ac:dyDescent="0.25">
      <c r="A129" s="6">
        <v>111</v>
      </c>
      <c r="B129" s="4" t="s">
        <v>128</v>
      </c>
      <c r="C129" s="3" t="s">
        <v>6</v>
      </c>
      <c r="D129" s="9">
        <v>2</v>
      </c>
      <c r="E129" s="7">
        <v>15</v>
      </c>
      <c r="F129" s="8">
        <f t="shared" si="12"/>
        <v>30</v>
      </c>
    </row>
    <row r="130" spans="1:6" ht="24.95" customHeight="1" x14ac:dyDescent="0.25">
      <c r="A130" s="6">
        <v>112</v>
      </c>
      <c r="B130" s="4" t="s">
        <v>238</v>
      </c>
      <c r="C130" s="3" t="s">
        <v>6</v>
      </c>
      <c r="D130" s="9">
        <v>1</v>
      </c>
      <c r="E130" s="7">
        <v>150</v>
      </c>
      <c r="F130" s="8">
        <f t="shared" si="12"/>
        <v>150</v>
      </c>
    </row>
    <row r="131" spans="1:6" ht="24.95" customHeight="1" x14ac:dyDescent="0.25">
      <c r="A131" s="39"/>
      <c r="B131" s="40"/>
      <c r="C131" s="41"/>
      <c r="D131" s="18" t="s">
        <v>8</v>
      </c>
      <c r="E131" s="19"/>
      <c r="F131" s="13">
        <f>SUM(F108:F130)</f>
        <v>12170.4</v>
      </c>
    </row>
    <row r="132" spans="1:6" ht="24.95" customHeight="1" x14ac:dyDescent="0.25">
      <c r="A132" s="33" t="s">
        <v>129</v>
      </c>
      <c r="B132" s="34"/>
      <c r="C132" s="34"/>
      <c r="D132" s="34"/>
      <c r="E132" s="34"/>
      <c r="F132" s="35"/>
    </row>
    <row r="133" spans="1:6" ht="24.95" customHeight="1" x14ac:dyDescent="0.25">
      <c r="A133" s="6">
        <v>105</v>
      </c>
      <c r="B133" s="4" t="s">
        <v>130</v>
      </c>
      <c r="C133" s="3" t="s">
        <v>191</v>
      </c>
      <c r="D133" s="9">
        <v>2</v>
      </c>
      <c r="E133" s="7">
        <v>969</v>
      </c>
      <c r="F133" s="8">
        <f>D133*E133</f>
        <v>1938</v>
      </c>
    </row>
    <row r="134" spans="1:6" ht="24.95" customHeight="1" x14ac:dyDescent="0.25">
      <c r="A134" s="6">
        <v>106</v>
      </c>
      <c r="B134" s="4" t="s">
        <v>130</v>
      </c>
      <c r="C134" s="3" t="s">
        <v>192</v>
      </c>
      <c r="D134" s="9">
        <v>2</v>
      </c>
      <c r="E134" s="7">
        <v>912</v>
      </c>
      <c r="F134" s="8">
        <f t="shared" ref="F134:F137" si="13">D134*E134</f>
        <v>1824</v>
      </c>
    </row>
    <row r="135" spans="1:6" ht="24.95" customHeight="1" x14ac:dyDescent="0.25">
      <c r="A135" s="6">
        <v>107</v>
      </c>
      <c r="B135" s="4" t="s">
        <v>130</v>
      </c>
      <c r="C135" s="3" t="s">
        <v>52</v>
      </c>
      <c r="D135" s="9">
        <v>1</v>
      </c>
      <c r="E135" s="7">
        <v>190</v>
      </c>
      <c r="F135" s="8">
        <f t="shared" si="13"/>
        <v>190</v>
      </c>
    </row>
    <row r="136" spans="1:6" ht="24.95" customHeight="1" x14ac:dyDescent="0.25">
      <c r="A136" s="6">
        <v>108</v>
      </c>
      <c r="B136" s="4" t="s">
        <v>167</v>
      </c>
      <c r="C136" s="3" t="s">
        <v>6</v>
      </c>
      <c r="D136" s="9">
        <v>6</v>
      </c>
      <c r="E136" s="7">
        <v>13</v>
      </c>
      <c r="F136" s="8">
        <f t="shared" si="13"/>
        <v>78</v>
      </c>
    </row>
    <row r="137" spans="1:6" ht="24.95" customHeight="1" x14ac:dyDescent="0.25">
      <c r="A137" s="6">
        <v>109</v>
      </c>
      <c r="B137" s="4" t="s">
        <v>168</v>
      </c>
      <c r="C137" s="3" t="s">
        <v>6</v>
      </c>
      <c r="D137" s="9">
        <v>5</v>
      </c>
      <c r="E137" s="7">
        <v>13</v>
      </c>
      <c r="F137" s="8">
        <f t="shared" si="13"/>
        <v>65</v>
      </c>
    </row>
    <row r="138" spans="1:6" ht="24.95" customHeight="1" x14ac:dyDescent="0.25">
      <c r="A138" s="6">
        <v>110</v>
      </c>
      <c r="B138" s="4" t="s">
        <v>131</v>
      </c>
      <c r="C138" s="3" t="s">
        <v>212</v>
      </c>
      <c r="D138" s="9">
        <v>5</v>
      </c>
      <c r="E138" s="7">
        <v>265</v>
      </c>
      <c r="F138" s="8">
        <f t="shared" ref="F138:F143" si="14">D138*E138</f>
        <v>1325</v>
      </c>
    </row>
    <row r="139" spans="1:6" ht="24.95" customHeight="1" x14ac:dyDescent="0.25">
      <c r="A139" s="6">
        <v>111</v>
      </c>
      <c r="B139" s="4" t="s">
        <v>131</v>
      </c>
      <c r="C139" s="3" t="s">
        <v>132</v>
      </c>
      <c r="D139" s="9">
        <v>5</v>
      </c>
      <c r="E139" s="7">
        <v>90</v>
      </c>
      <c r="F139" s="8">
        <f t="shared" si="14"/>
        <v>450</v>
      </c>
    </row>
    <row r="140" spans="1:6" ht="24.95" customHeight="1" x14ac:dyDescent="0.25">
      <c r="A140" s="6">
        <v>112</v>
      </c>
      <c r="B140" s="4" t="s">
        <v>107</v>
      </c>
      <c r="C140" s="3" t="s">
        <v>133</v>
      </c>
      <c r="D140" s="9">
        <v>10</v>
      </c>
      <c r="E140" s="7">
        <v>33</v>
      </c>
      <c r="F140" s="8">
        <f t="shared" si="14"/>
        <v>330</v>
      </c>
    </row>
    <row r="141" spans="1:6" ht="24.95" customHeight="1" x14ac:dyDescent="0.25">
      <c r="A141" s="6">
        <v>113</v>
      </c>
      <c r="B141" s="4" t="s">
        <v>101</v>
      </c>
      <c r="C141" s="3" t="s">
        <v>133</v>
      </c>
      <c r="D141" s="9">
        <v>5</v>
      </c>
      <c r="E141" s="7">
        <v>38</v>
      </c>
      <c r="F141" s="8">
        <f t="shared" si="14"/>
        <v>190</v>
      </c>
    </row>
    <row r="142" spans="1:6" ht="24.95" customHeight="1" x14ac:dyDescent="0.25">
      <c r="A142" s="6">
        <v>114</v>
      </c>
      <c r="B142" s="4" t="s">
        <v>134</v>
      </c>
      <c r="C142" s="3" t="s">
        <v>133</v>
      </c>
      <c r="D142" s="9">
        <v>10</v>
      </c>
      <c r="E142" s="7">
        <v>15</v>
      </c>
      <c r="F142" s="8">
        <f t="shared" si="14"/>
        <v>150</v>
      </c>
    </row>
    <row r="143" spans="1:6" ht="24.95" customHeight="1" x14ac:dyDescent="0.25">
      <c r="A143" s="6">
        <v>115</v>
      </c>
      <c r="B143" s="4" t="s">
        <v>169</v>
      </c>
      <c r="C143" s="3" t="s">
        <v>135</v>
      </c>
      <c r="D143" s="9">
        <v>54</v>
      </c>
      <c r="E143" s="7">
        <v>7.8</v>
      </c>
      <c r="F143" s="8">
        <f t="shared" si="14"/>
        <v>421.2</v>
      </c>
    </row>
    <row r="144" spans="1:6" ht="24.95" customHeight="1" x14ac:dyDescent="0.25">
      <c r="A144" s="24"/>
      <c r="B144" s="25"/>
      <c r="C144" s="25"/>
      <c r="D144" s="18" t="s">
        <v>8</v>
      </c>
      <c r="E144" s="19"/>
      <c r="F144" s="13">
        <f>SUM(F133:F143)</f>
        <v>6961.2</v>
      </c>
    </row>
    <row r="145" spans="1:6" ht="24.95" customHeight="1" x14ac:dyDescent="0.25">
      <c r="A145" s="33" t="s">
        <v>136</v>
      </c>
      <c r="B145" s="34"/>
      <c r="C145" s="34"/>
      <c r="D145" s="34"/>
      <c r="E145" s="34"/>
      <c r="F145" s="35"/>
    </row>
    <row r="146" spans="1:6" ht="24.95" customHeight="1" x14ac:dyDescent="0.25">
      <c r="A146" s="6">
        <v>116</v>
      </c>
      <c r="B146" s="14" t="s">
        <v>230</v>
      </c>
      <c r="C146" s="3" t="s">
        <v>172</v>
      </c>
      <c r="D146" s="9">
        <v>1</v>
      </c>
      <c r="E146" s="7">
        <v>2850</v>
      </c>
      <c r="F146" s="8">
        <f>D146*E146</f>
        <v>2850</v>
      </c>
    </row>
    <row r="147" spans="1:6" ht="24.95" customHeight="1" x14ac:dyDescent="0.25">
      <c r="A147" s="6">
        <v>117</v>
      </c>
      <c r="B147" s="14" t="s">
        <v>231</v>
      </c>
      <c r="C147" s="3" t="s">
        <v>173</v>
      </c>
      <c r="D147" s="9">
        <v>1</v>
      </c>
      <c r="E147" s="7">
        <v>700</v>
      </c>
      <c r="F147" s="8">
        <f t="shared" ref="F147:F152" si="15">D147*E147</f>
        <v>700</v>
      </c>
    </row>
    <row r="148" spans="1:6" ht="24.95" customHeight="1" x14ac:dyDescent="0.25">
      <c r="A148" s="6">
        <v>118</v>
      </c>
      <c r="B148" s="14" t="s">
        <v>232</v>
      </c>
      <c r="C148" s="3" t="s">
        <v>172</v>
      </c>
      <c r="D148" s="9">
        <v>2</v>
      </c>
      <c r="E148" s="7">
        <v>2400</v>
      </c>
      <c r="F148" s="8">
        <f t="shared" si="15"/>
        <v>4800</v>
      </c>
    </row>
    <row r="149" spans="1:6" ht="24.95" customHeight="1" x14ac:dyDescent="0.25">
      <c r="A149" s="6">
        <v>119</v>
      </c>
      <c r="B149" s="4" t="s">
        <v>166</v>
      </c>
      <c r="C149" s="3" t="s">
        <v>174</v>
      </c>
      <c r="D149" s="9">
        <v>2</v>
      </c>
      <c r="E149" s="7">
        <v>900</v>
      </c>
      <c r="F149" s="8">
        <f t="shared" si="15"/>
        <v>1800</v>
      </c>
    </row>
    <row r="150" spans="1:6" ht="24.95" customHeight="1" x14ac:dyDescent="0.25">
      <c r="A150" s="6">
        <v>120</v>
      </c>
      <c r="B150" s="4" t="s">
        <v>137</v>
      </c>
      <c r="C150" s="3" t="s">
        <v>138</v>
      </c>
      <c r="D150" s="9">
        <v>1</v>
      </c>
      <c r="E150" s="12">
        <v>1023</v>
      </c>
      <c r="F150" s="8">
        <f t="shared" si="15"/>
        <v>1023</v>
      </c>
    </row>
    <row r="151" spans="1:6" ht="24.95" customHeight="1" x14ac:dyDescent="0.25">
      <c r="A151" s="6">
        <v>121</v>
      </c>
      <c r="B151" s="4" t="s">
        <v>139</v>
      </c>
      <c r="C151" s="3" t="s">
        <v>163</v>
      </c>
      <c r="D151" s="9">
        <v>1</v>
      </c>
      <c r="E151" s="12">
        <v>306</v>
      </c>
      <c r="F151" s="8">
        <f t="shared" si="15"/>
        <v>306</v>
      </c>
    </row>
    <row r="152" spans="1:6" ht="24.95" customHeight="1" x14ac:dyDescent="0.25">
      <c r="A152" s="6">
        <v>122</v>
      </c>
      <c r="B152" s="4" t="s">
        <v>151</v>
      </c>
      <c r="C152" s="3" t="s">
        <v>140</v>
      </c>
      <c r="D152" s="9">
        <v>120</v>
      </c>
      <c r="E152" s="7">
        <v>35.75</v>
      </c>
      <c r="F152" s="8">
        <f t="shared" si="15"/>
        <v>4290</v>
      </c>
    </row>
    <row r="153" spans="1:6" ht="24.95" customHeight="1" x14ac:dyDescent="0.25">
      <c r="A153" s="24"/>
      <c r="B153" s="25"/>
      <c r="C153" s="25"/>
      <c r="D153" s="18" t="s">
        <v>8</v>
      </c>
      <c r="E153" s="19"/>
      <c r="F153" s="13">
        <f>SUM(F146:F152)</f>
        <v>15769</v>
      </c>
    </row>
    <row r="154" spans="1:6" ht="24.95" customHeight="1" x14ac:dyDescent="0.25">
      <c r="A154" s="33" t="s">
        <v>142</v>
      </c>
      <c r="B154" s="34"/>
      <c r="C154" s="34"/>
      <c r="D154" s="34"/>
      <c r="E154" s="34"/>
      <c r="F154" s="35"/>
    </row>
    <row r="155" spans="1:6" ht="24.95" customHeight="1" x14ac:dyDescent="0.25">
      <c r="A155" s="6">
        <v>123</v>
      </c>
      <c r="B155" s="4" t="s">
        <v>143</v>
      </c>
      <c r="C155" s="3"/>
      <c r="D155" s="9">
        <v>5</v>
      </c>
      <c r="E155" s="7">
        <v>386</v>
      </c>
      <c r="F155" s="8">
        <f t="shared" ref="F155:F161" si="16">D155*E155</f>
        <v>1930</v>
      </c>
    </row>
    <row r="156" spans="1:6" ht="24.95" customHeight="1" x14ac:dyDescent="0.25">
      <c r="A156" s="6">
        <v>124</v>
      </c>
      <c r="B156" s="4" t="s">
        <v>144</v>
      </c>
      <c r="C156" s="3"/>
      <c r="D156" s="9">
        <v>10</v>
      </c>
      <c r="E156" s="7">
        <v>35</v>
      </c>
      <c r="F156" s="8">
        <f t="shared" si="16"/>
        <v>350</v>
      </c>
    </row>
    <row r="157" spans="1:6" ht="24.95" customHeight="1" x14ac:dyDescent="0.25">
      <c r="A157" s="6">
        <v>125</v>
      </c>
      <c r="B157" s="4" t="s">
        <v>190</v>
      </c>
      <c r="C157" s="3" t="s">
        <v>141</v>
      </c>
      <c r="D157" s="9">
        <v>2</v>
      </c>
      <c r="E157" s="7">
        <v>178</v>
      </c>
      <c r="F157" s="8">
        <f t="shared" si="16"/>
        <v>356</v>
      </c>
    </row>
    <row r="158" spans="1:6" ht="24.95" customHeight="1" x14ac:dyDescent="0.25">
      <c r="A158" s="6">
        <v>126</v>
      </c>
      <c r="B158" s="4" t="s">
        <v>233</v>
      </c>
      <c r="C158" s="3"/>
      <c r="D158" s="9">
        <v>1</v>
      </c>
      <c r="E158" s="7">
        <v>300</v>
      </c>
      <c r="F158" s="8">
        <f t="shared" si="16"/>
        <v>300</v>
      </c>
    </row>
    <row r="159" spans="1:6" ht="24.95" customHeight="1" x14ac:dyDescent="0.25">
      <c r="A159" s="6">
        <v>127</v>
      </c>
      <c r="B159" s="4" t="s">
        <v>149</v>
      </c>
      <c r="C159" s="3" t="s">
        <v>170</v>
      </c>
      <c r="D159" s="9">
        <v>5</v>
      </c>
      <c r="E159" s="7"/>
      <c r="F159" s="8">
        <f t="shared" si="16"/>
        <v>0</v>
      </c>
    </row>
    <row r="160" spans="1:6" ht="24.95" customHeight="1" x14ac:dyDescent="0.25">
      <c r="A160" s="6">
        <v>128</v>
      </c>
      <c r="B160" s="4" t="s">
        <v>150</v>
      </c>
      <c r="C160" s="3" t="s">
        <v>66</v>
      </c>
      <c r="D160" s="9">
        <v>6</v>
      </c>
      <c r="E160" s="7"/>
      <c r="F160" s="8">
        <f t="shared" ref="F160" si="17">D160*E160</f>
        <v>0</v>
      </c>
    </row>
    <row r="161" spans="1:6" ht="24.95" customHeight="1" x14ac:dyDescent="0.25">
      <c r="A161" s="6">
        <v>129</v>
      </c>
      <c r="B161" s="4" t="s">
        <v>193</v>
      </c>
      <c r="C161" s="3" t="s">
        <v>66</v>
      </c>
      <c r="D161" s="9">
        <v>6</v>
      </c>
      <c r="E161" s="7"/>
      <c r="F161" s="8">
        <f t="shared" si="16"/>
        <v>0</v>
      </c>
    </row>
    <row r="162" spans="1:6" ht="24.95" customHeight="1" x14ac:dyDescent="0.25">
      <c r="A162" s="24"/>
      <c r="B162" s="25"/>
      <c r="C162" s="25"/>
      <c r="D162" s="18" t="s">
        <v>8</v>
      </c>
      <c r="E162" s="19"/>
      <c r="F162" s="13">
        <f>SUM(F155:F161)</f>
        <v>2936</v>
      </c>
    </row>
    <row r="163" spans="1:6" ht="24.95" customHeight="1" x14ac:dyDescent="0.25">
      <c r="A163" s="22"/>
      <c r="B163" s="23"/>
      <c r="C163" s="23"/>
      <c r="D163" s="18" t="s">
        <v>145</v>
      </c>
      <c r="E163" s="19"/>
      <c r="F163" s="13">
        <f>SUM(F162,F153,F144,F131,F106,F99,F90,F74,F62,F56,F50,F43,F17)</f>
        <v>384913.86</v>
      </c>
    </row>
    <row r="164" spans="1:6" ht="24.95" customHeight="1" x14ac:dyDescent="0.25">
      <c r="A164" s="20"/>
      <c r="B164" s="21"/>
      <c r="C164" s="21"/>
      <c r="D164" s="18" t="s">
        <v>179</v>
      </c>
      <c r="E164" s="19"/>
      <c r="F164" s="13">
        <f>F163*0.2</f>
        <v>76982.771999999997</v>
      </c>
    </row>
    <row r="165" spans="1:6" ht="27.75" customHeight="1" x14ac:dyDescent="0.25">
      <c r="A165" s="20" t="s">
        <v>236</v>
      </c>
      <c r="B165" s="21"/>
      <c r="C165" s="21"/>
      <c r="D165" s="18" t="s">
        <v>148</v>
      </c>
      <c r="E165" s="19"/>
      <c r="F165" s="13">
        <v>370000</v>
      </c>
    </row>
  </sheetData>
  <mergeCells count="56">
    <mergeCell ref="A145:F145"/>
    <mergeCell ref="A153:C153"/>
    <mergeCell ref="D153:E153"/>
    <mergeCell ref="A154:F154"/>
    <mergeCell ref="A107:F107"/>
    <mergeCell ref="A131:C131"/>
    <mergeCell ref="D131:E131"/>
    <mergeCell ref="A132:F132"/>
    <mergeCell ref="A144:C144"/>
    <mergeCell ref="D144:E144"/>
    <mergeCell ref="A91:F91"/>
    <mergeCell ref="A99:C99"/>
    <mergeCell ref="D99:E99"/>
    <mergeCell ref="A100:F100"/>
    <mergeCell ref="A106:C106"/>
    <mergeCell ref="D106:E106"/>
    <mergeCell ref="A63:F63"/>
    <mergeCell ref="A74:C74"/>
    <mergeCell ref="D74:E74"/>
    <mergeCell ref="A75:F75"/>
    <mergeCell ref="A90:C90"/>
    <mergeCell ref="D90:E90"/>
    <mergeCell ref="A51:F51"/>
    <mergeCell ref="A56:C56"/>
    <mergeCell ref="D56:E56"/>
    <mergeCell ref="A57:F57"/>
    <mergeCell ref="A62:C62"/>
    <mergeCell ref="D62:E62"/>
    <mergeCell ref="A18:F18"/>
    <mergeCell ref="A43:C43"/>
    <mergeCell ref="D43:E43"/>
    <mergeCell ref="A44:F44"/>
    <mergeCell ref="A50:C50"/>
    <mergeCell ref="D50:E50"/>
    <mergeCell ref="F47:F49"/>
    <mergeCell ref="A5:B5"/>
    <mergeCell ref="C5:F5"/>
    <mergeCell ref="A7:F7"/>
    <mergeCell ref="A8:F8"/>
    <mergeCell ref="A17:C17"/>
    <mergeCell ref="D17:E17"/>
    <mergeCell ref="A4:B4"/>
    <mergeCell ref="C4:F4"/>
    <mergeCell ref="A1:F1"/>
    <mergeCell ref="A2:B2"/>
    <mergeCell ref="C2:F2"/>
    <mergeCell ref="A3:B3"/>
    <mergeCell ref="C3:F3"/>
    <mergeCell ref="D162:E162"/>
    <mergeCell ref="D164:E164"/>
    <mergeCell ref="D163:E163"/>
    <mergeCell ref="A165:C165"/>
    <mergeCell ref="D165:E165"/>
    <mergeCell ref="A163:C163"/>
    <mergeCell ref="A164:C164"/>
    <mergeCell ref="A162:C162"/>
  </mergeCells>
  <pageMargins left="0.7" right="0.7" top="0.75" bottom="0.75" header="0.3" footer="0.3"/>
  <pageSetup paperSize="9" scale="72" orientation="portrait" verticalDpi="300" r:id="rId1"/>
  <rowBreaks count="3" manualBreakCount="3">
    <brk id="41" max="5" man="1"/>
    <brk id="82" max="5" man="1"/>
    <brk id="123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opLeftCell="A21" zoomScaleNormal="100" workbookViewId="0">
      <selection activeCell="H9" sqref="H9"/>
    </sheetView>
  </sheetViews>
  <sheetFormatPr defaultRowHeight="15" x14ac:dyDescent="0.25"/>
  <cols>
    <col min="1" max="1" width="9.7109375" customWidth="1"/>
    <col min="2" max="2" width="32.7109375" customWidth="1"/>
    <col min="3" max="3" width="20.7109375" customWidth="1"/>
    <col min="4" max="5" width="11.7109375" customWidth="1"/>
    <col min="6" max="6" width="20.7109375" customWidth="1"/>
  </cols>
  <sheetData>
    <row r="1" spans="1:6" ht="36" customHeight="1" x14ac:dyDescent="0.25">
      <c r="A1" s="26" t="s">
        <v>178</v>
      </c>
      <c r="B1" s="27"/>
      <c r="C1" s="27" t="s">
        <v>161</v>
      </c>
      <c r="D1" s="27"/>
      <c r="E1" s="27"/>
      <c r="F1" s="28"/>
    </row>
    <row r="2" spans="1:6" ht="24.95" customHeight="1" x14ac:dyDescent="0.25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5" t="s">
        <v>8</v>
      </c>
    </row>
    <row r="3" spans="1:6" ht="9.75" hidden="1" customHeight="1" x14ac:dyDescent="0.25">
      <c r="A3" s="20"/>
      <c r="B3" s="21"/>
      <c r="C3" s="21"/>
      <c r="D3" s="21"/>
      <c r="E3" s="21"/>
      <c r="F3" s="32"/>
    </row>
    <row r="4" spans="1:6" ht="24.95" customHeight="1" x14ac:dyDescent="0.25">
      <c r="A4" s="33" t="s">
        <v>90</v>
      </c>
      <c r="B4" s="34"/>
      <c r="C4" s="34"/>
      <c r="D4" s="34"/>
      <c r="E4" s="34"/>
      <c r="F4" s="35"/>
    </row>
    <row r="5" spans="1:6" ht="24.95" customHeight="1" x14ac:dyDescent="0.25">
      <c r="A5" s="6">
        <v>163</v>
      </c>
      <c r="B5" s="4" t="s">
        <v>91</v>
      </c>
      <c r="C5" s="3" t="s">
        <v>92</v>
      </c>
      <c r="D5" s="9">
        <v>14</v>
      </c>
      <c r="E5" s="7">
        <v>40.32</v>
      </c>
      <c r="F5" s="8">
        <f>D5*E5</f>
        <v>564.48</v>
      </c>
    </row>
    <row r="6" spans="1:6" ht="24.95" customHeight="1" x14ac:dyDescent="0.25">
      <c r="A6" s="6">
        <v>164</v>
      </c>
      <c r="B6" s="4" t="s">
        <v>93</v>
      </c>
      <c r="C6" s="3" t="s">
        <v>94</v>
      </c>
      <c r="D6" s="9">
        <v>20</v>
      </c>
      <c r="E6" s="7">
        <v>1.33</v>
      </c>
      <c r="F6" s="8">
        <f t="shared" ref="F6:F30" si="0">D6*E6</f>
        <v>26.6</v>
      </c>
    </row>
    <row r="7" spans="1:6" ht="24.95" customHeight="1" x14ac:dyDescent="0.25">
      <c r="A7" s="6">
        <v>165</v>
      </c>
      <c r="B7" s="4" t="s">
        <v>95</v>
      </c>
      <c r="C7" s="3" t="s">
        <v>94</v>
      </c>
      <c r="D7" s="9">
        <v>14</v>
      </c>
      <c r="E7" s="7">
        <v>11.31</v>
      </c>
      <c r="F7" s="8">
        <f t="shared" si="0"/>
        <v>158.34</v>
      </c>
    </row>
    <row r="8" spans="1:6" ht="24.95" customHeight="1" x14ac:dyDescent="0.25">
      <c r="A8" s="6">
        <v>166</v>
      </c>
      <c r="B8" s="4" t="s">
        <v>96</v>
      </c>
      <c r="C8" s="3" t="s">
        <v>94</v>
      </c>
      <c r="D8" s="9">
        <v>14</v>
      </c>
      <c r="E8" s="7">
        <v>1.86</v>
      </c>
      <c r="F8" s="8">
        <f t="shared" si="0"/>
        <v>26.040000000000003</v>
      </c>
    </row>
    <row r="9" spans="1:6" ht="24.95" customHeight="1" x14ac:dyDescent="0.25">
      <c r="A9" s="6">
        <v>167</v>
      </c>
      <c r="B9" s="4" t="s">
        <v>97</v>
      </c>
      <c r="C9" s="3" t="s">
        <v>94</v>
      </c>
      <c r="D9" s="9">
        <v>6</v>
      </c>
      <c r="E9" s="7">
        <v>10.85</v>
      </c>
      <c r="F9" s="8">
        <f t="shared" si="0"/>
        <v>65.099999999999994</v>
      </c>
    </row>
    <row r="10" spans="1:6" ht="24.95" customHeight="1" x14ac:dyDescent="0.25">
      <c r="A10" s="6">
        <v>168</v>
      </c>
      <c r="B10" s="4" t="s">
        <v>98</v>
      </c>
      <c r="C10" s="3" t="s">
        <v>29</v>
      </c>
      <c r="D10" s="9">
        <v>6</v>
      </c>
      <c r="E10" s="7">
        <v>4.6500000000000004</v>
      </c>
      <c r="F10" s="8">
        <f t="shared" si="0"/>
        <v>27.900000000000002</v>
      </c>
    </row>
    <row r="11" spans="1:6" ht="24.95" customHeight="1" x14ac:dyDescent="0.25">
      <c r="A11" s="6">
        <v>169</v>
      </c>
      <c r="B11" s="4" t="s">
        <v>99</v>
      </c>
      <c r="C11" s="3" t="s">
        <v>94</v>
      </c>
      <c r="D11" s="9">
        <v>10</v>
      </c>
      <c r="E11" s="7">
        <v>0.88</v>
      </c>
      <c r="F11" s="8">
        <f t="shared" si="0"/>
        <v>8.8000000000000007</v>
      </c>
    </row>
    <row r="12" spans="1:6" ht="24.95" customHeight="1" x14ac:dyDescent="0.25">
      <c r="A12" s="6">
        <v>170</v>
      </c>
      <c r="B12" s="4" t="s">
        <v>100</v>
      </c>
      <c r="C12" s="3" t="s">
        <v>52</v>
      </c>
      <c r="D12" s="9">
        <v>2</v>
      </c>
      <c r="E12" s="7">
        <v>17.21</v>
      </c>
      <c r="F12" s="8">
        <f t="shared" si="0"/>
        <v>34.42</v>
      </c>
    </row>
    <row r="13" spans="1:6" ht="24.95" customHeight="1" x14ac:dyDescent="0.25">
      <c r="A13" s="6">
        <v>171</v>
      </c>
      <c r="B13" s="4" t="s">
        <v>101</v>
      </c>
      <c r="C13" s="3" t="s">
        <v>102</v>
      </c>
      <c r="D13" s="9">
        <v>2</v>
      </c>
      <c r="E13" s="7">
        <v>23.6</v>
      </c>
      <c r="F13" s="8">
        <f t="shared" si="0"/>
        <v>47.2</v>
      </c>
    </row>
    <row r="14" spans="1:6" ht="24.95" customHeight="1" x14ac:dyDescent="0.25">
      <c r="A14" s="6">
        <v>172</v>
      </c>
      <c r="B14" s="4" t="s">
        <v>103</v>
      </c>
      <c r="C14" s="3" t="s">
        <v>104</v>
      </c>
      <c r="D14" s="9">
        <v>2</v>
      </c>
      <c r="E14" s="7">
        <v>26.04</v>
      </c>
      <c r="F14" s="8">
        <f t="shared" si="0"/>
        <v>52.08</v>
      </c>
    </row>
    <row r="15" spans="1:6" ht="24.95" customHeight="1" x14ac:dyDescent="0.25">
      <c r="A15" s="6">
        <v>173</v>
      </c>
      <c r="B15" s="4" t="s">
        <v>106</v>
      </c>
      <c r="C15" s="3" t="s">
        <v>104</v>
      </c>
      <c r="D15" s="9">
        <v>1</v>
      </c>
      <c r="E15" s="7">
        <v>13.66</v>
      </c>
      <c r="F15" s="8">
        <f t="shared" si="0"/>
        <v>13.66</v>
      </c>
    </row>
    <row r="16" spans="1:6" ht="24.95" customHeight="1" x14ac:dyDescent="0.25">
      <c r="A16" s="6">
        <v>174</v>
      </c>
      <c r="B16" s="4" t="s">
        <v>108</v>
      </c>
      <c r="C16" s="3" t="s">
        <v>109</v>
      </c>
      <c r="D16" s="9">
        <v>2</v>
      </c>
      <c r="E16" s="7">
        <v>40.49</v>
      </c>
      <c r="F16" s="8">
        <f t="shared" si="0"/>
        <v>80.98</v>
      </c>
    </row>
    <row r="17" spans="1:6" ht="24.95" customHeight="1" x14ac:dyDescent="0.25">
      <c r="A17" s="6">
        <v>175</v>
      </c>
      <c r="B17" s="4" t="s">
        <v>108</v>
      </c>
      <c r="C17" s="3" t="s">
        <v>110</v>
      </c>
      <c r="D17" s="9">
        <v>1</v>
      </c>
      <c r="E17" s="7">
        <v>69.59</v>
      </c>
      <c r="F17" s="8">
        <f t="shared" si="0"/>
        <v>69.59</v>
      </c>
    </row>
    <row r="18" spans="1:6" ht="24.95" customHeight="1" x14ac:dyDescent="0.25">
      <c r="A18" s="6">
        <v>176</v>
      </c>
      <c r="B18" s="4" t="s">
        <v>111</v>
      </c>
      <c r="C18" s="3" t="s">
        <v>112</v>
      </c>
      <c r="D18" s="9">
        <v>8</v>
      </c>
      <c r="E18" s="7">
        <v>16.04</v>
      </c>
      <c r="F18" s="8">
        <f t="shared" si="0"/>
        <v>128.32</v>
      </c>
    </row>
    <row r="19" spans="1:6" ht="24.95" customHeight="1" x14ac:dyDescent="0.25">
      <c r="A19" s="6">
        <v>177</v>
      </c>
      <c r="B19" s="4" t="s">
        <v>111</v>
      </c>
      <c r="C19" s="3" t="s">
        <v>113</v>
      </c>
      <c r="D19" s="9">
        <v>6</v>
      </c>
      <c r="E19" s="7">
        <v>26.81</v>
      </c>
      <c r="F19" s="8">
        <f t="shared" si="0"/>
        <v>160.85999999999999</v>
      </c>
    </row>
    <row r="20" spans="1:6" ht="24.95" customHeight="1" x14ac:dyDescent="0.25">
      <c r="A20" s="6">
        <v>178</v>
      </c>
      <c r="B20" s="4" t="s">
        <v>114</v>
      </c>
      <c r="C20" s="3" t="s">
        <v>115</v>
      </c>
      <c r="D20" s="9">
        <v>1</v>
      </c>
      <c r="E20" s="7">
        <v>39.409999999999997</v>
      </c>
      <c r="F20" s="8">
        <f t="shared" si="0"/>
        <v>39.409999999999997</v>
      </c>
    </row>
    <row r="21" spans="1:6" ht="24.95" customHeight="1" x14ac:dyDescent="0.25">
      <c r="A21" s="6">
        <v>179</v>
      </c>
      <c r="B21" s="4" t="s">
        <v>103</v>
      </c>
      <c r="C21" s="3" t="s">
        <v>116</v>
      </c>
      <c r="D21" s="9">
        <v>6</v>
      </c>
      <c r="E21" s="7">
        <v>10.96</v>
      </c>
      <c r="F21" s="8">
        <f t="shared" si="0"/>
        <v>65.760000000000005</v>
      </c>
    </row>
    <row r="22" spans="1:6" ht="24.95" customHeight="1" x14ac:dyDescent="0.25">
      <c r="A22" s="6">
        <v>180</v>
      </c>
      <c r="B22" s="4" t="s">
        <v>117</v>
      </c>
      <c r="C22" s="3" t="s">
        <v>118</v>
      </c>
      <c r="D22" s="9">
        <v>12</v>
      </c>
      <c r="E22" s="7">
        <v>5.4</v>
      </c>
      <c r="F22" s="8">
        <f t="shared" si="0"/>
        <v>64.800000000000011</v>
      </c>
    </row>
    <row r="23" spans="1:6" ht="24.95" customHeight="1" x14ac:dyDescent="0.25">
      <c r="A23" s="6">
        <v>181</v>
      </c>
      <c r="B23" s="4" t="s">
        <v>117</v>
      </c>
      <c r="C23" s="3" t="s">
        <v>119</v>
      </c>
      <c r="D23" s="9">
        <v>6</v>
      </c>
      <c r="E23" s="7">
        <v>6.4</v>
      </c>
      <c r="F23" s="8">
        <f t="shared" si="0"/>
        <v>38.400000000000006</v>
      </c>
    </row>
    <row r="24" spans="1:6" ht="24.95" customHeight="1" x14ac:dyDescent="0.25">
      <c r="A24" s="6">
        <v>182</v>
      </c>
      <c r="B24" s="4" t="s">
        <v>120</v>
      </c>
      <c r="C24" s="3" t="s">
        <v>6</v>
      </c>
      <c r="D24" s="9">
        <v>14</v>
      </c>
      <c r="E24" s="7">
        <v>0.88</v>
      </c>
      <c r="F24" s="8">
        <f t="shared" si="0"/>
        <v>12.32</v>
      </c>
    </row>
    <row r="25" spans="1:6" ht="24.95" customHeight="1" x14ac:dyDescent="0.25">
      <c r="A25" s="6">
        <v>183</v>
      </c>
      <c r="B25" s="4" t="s">
        <v>121</v>
      </c>
      <c r="C25" s="3" t="s">
        <v>122</v>
      </c>
      <c r="D25" s="9">
        <v>2</v>
      </c>
      <c r="E25" s="7">
        <v>12.32</v>
      </c>
      <c r="F25" s="8">
        <f t="shared" si="0"/>
        <v>24.64</v>
      </c>
    </row>
    <row r="26" spans="1:6" ht="24.95" customHeight="1" x14ac:dyDescent="0.25">
      <c r="A26" s="6">
        <v>184</v>
      </c>
      <c r="B26" s="4" t="s">
        <v>123</v>
      </c>
      <c r="C26" s="3" t="s">
        <v>6</v>
      </c>
      <c r="D26" s="9">
        <v>10</v>
      </c>
      <c r="E26" s="7">
        <v>2.8</v>
      </c>
      <c r="F26" s="8">
        <f t="shared" si="0"/>
        <v>28</v>
      </c>
    </row>
    <row r="27" spans="1:6" ht="24.95" customHeight="1" x14ac:dyDescent="0.25">
      <c r="A27" s="6">
        <v>185</v>
      </c>
      <c r="B27" s="4" t="s">
        <v>124</v>
      </c>
      <c r="C27" s="3" t="s">
        <v>125</v>
      </c>
      <c r="D27" s="9">
        <v>2</v>
      </c>
      <c r="E27" s="7">
        <v>1142</v>
      </c>
      <c r="F27" s="8">
        <f t="shared" si="0"/>
        <v>2284</v>
      </c>
    </row>
    <row r="28" spans="1:6" ht="24.95" customHeight="1" x14ac:dyDescent="0.25">
      <c r="A28" s="6">
        <v>186</v>
      </c>
      <c r="B28" s="4" t="s">
        <v>126</v>
      </c>
      <c r="C28" s="3" t="s">
        <v>66</v>
      </c>
      <c r="D28" s="9">
        <v>2</v>
      </c>
      <c r="E28" s="7">
        <v>1051.32</v>
      </c>
      <c r="F28" s="8">
        <f t="shared" si="0"/>
        <v>2102.64</v>
      </c>
    </row>
    <row r="29" spans="1:6" ht="24.95" customHeight="1" x14ac:dyDescent="0.25">
      <c r="A29" s="6">
        <v>187</v>
      </c>
      <c r="B29" s="4" t="s">
        <v>127</v>
      </c>
      <c r="C29" s="3" t="s">
        <v>66</v>
      </c>
      <c r="D29" s="9">
        <v>2</v>
      </c>
      <c r="E29" s="7">
        <v>1148</v>
      </c>
      <c r="F29" s="8">
        <f t="shared" si="0"/>
        <v>2296</v>
      </c>
    </row>
    <row r="30" spans="1:6" ht="24.95" customHeight="1" x14ac:dyDescent="0.25">
      <c r="A30" s="6">
        <v>188</v>
      </c>
      <c r="B30" s="4" t="s">
        <v>128</v>
      </c>
      <c r="C30" s="3" t="s">
        <v>6</v>
      </c>
      <c r="D30" s="9">
        <v>10</v>
      </c>
      <c r="E30" s="7">
        <v>3.5</v>
      </c>
      <c r="F30" s="8">
        <f t="shared" si="0"/>
        <v>35</v>
      </c>
    </row>
    <row r="31" spans="1:6" ht="24.95" customHeight="1" x14ac:dyDescent="0.25">
      <c r="A31" s="24"/>
      <c r="B31" s="25"/>
      <c r="C31" s="25"/>
      <c r="D31" s="42" t="s">
        <v>8</v>
      </c>
      <c r="E31" s="42"/>
      <c r="F31" s="13">
        <f>SUM(F5:F30)</f>
        <v>8455.34</v>
      </c>
    </row>
  </sheetData>
  <mergeCells count="6">
    <mergeCell ref="A1:B1"/>
    <mergeCell ref="C1:F1"/>
    <mergeCell ref="A3:F3"/>
    <mergeCell ref="A4:F4"/>
    <mergeCell ref="A31:C31"/>
    <mergeCell ref="D31:E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zoomScaleNormal="100" workbookViewId="0">
      <selection sqref="A1:B1"/>
    </sheetView>
  </sheetViews>
  <sheetFormatPr defaultRowHeight="15" x14ac:dyDescent="0.25"/>
  <cols>
    <col min="1" max="1" width="9.7109375" customWidth="1"/>
    <col min="2" max="2" width="32.7109375" customWidth="1"/>
    <col min="3" max="3" width="20.7109375" customWidth="1"/>
    <col min="4" max="5" width="11.7109375" customWidth="1"/>
    <col min="6" max="6" width="20.7109375" customWidth="1"/>
  </cols>
  <sheetData>
    <row r="1" spans="1:6" ht="36" customHeight="1" x14ac:dyDescent="0.25">
      <c r="A1" s="26" t="s">
        <v>178</v>
      </c>
      <c r="B1" s="27"/>
      <c r="C1" s="27" t="s">
        <v>162</v>
      </c>
      <c r="D1" s="27"/>
      <c r="E1" s="27"/>
      <c r="F1" s="28"/>
    </row>
    <row r="2" spans="1:6" ht="24.95" customHeight="1" x14ac:dyDescent="0.25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5" t="s">
        <v>8</v>
      </c>
    </row>
    <row r="3" spans="1:6" ht="9.75" hidden="1" customHeight="1" x14ac:dyDescent="0.25">
      <c r="A3" s="20"/>
      <c r="B3" s="21"/>
      <c r="C3" s="21"/>
      <c r="D3" s="21"/>
      <c r="E3" s="21"/>
      <c r="F3" s="32"/>
    </row>
    <row r="4" spans="1:6" ht="24.95" customHeight="1" x14ac:dyDescent="0.25">
      <c r="A4" s="33" t="s">
        <v>90</v>
      </c>
      <c r="B4" s="34"/>
      <c r="C4" s="34"/>
      <c r="D4" s="34"/>
      <c r="E4" s="34"/>
      <c r="F4" s="35"/>
    </row>
    <row r="5" spans="1:6" ht="24.95" customHeight="1" x14ac:dyDescent="0.25">
      <c r="A5" s="6">
        <v>163</v>
      </c>
      <c r="B5" s="4" t="s">
        <v>91</v>
      </c>
      <c r="C5" s="3" t="s">
        <v>92</v>
      </c>
      <c r="D5" s="9">
        <v>10</v>
      </c>
      <c r="E5" s="7">
        <v>40.32</v>
      </c>
      <c r="F5" s="8">
        <f>D5*E5</f>
        <v>403.2</v>
      </c>
    </row>
    <row r="6" spans="1:6" ht="24.95" customHeight="1" x14ac:dyDescent="0.25">
      <c r="A6" s="6">
        <v>164</v>
      </c>
      <c r="B6" s="4" t="s">
        <v>93</v>
      </c>
      <c r="C6" s="3" t="s">
        <v>94</v>
      </c>
      <c r="D6" s="9">
        <v>20</v>
      </c>
      <c r="E6" s="7">
        <v>1.33</v>
      </c>
      <c r="F6" s="8">
        <f t="shared" ref="F6:F28" si="0">D6*E6</f>
        <v>26.6</v>
      </c>
    </row>
    <row r="7" spans="1:6" ht="24.95" customHeight="1" x14ac:dyDescent="0.25">
      <c r="A7" s="6">
        <v>165</v>
      </c>
      <c r="B7" s="4" t="s">
        <v>95</v>
      </c>
      <c r="C7" s="3" t="s">
        <v>94</v>
      </c>
      <c r="D7" s="9">
        <v>12</v>
      </c>
      <c r="E7" s="7">
        <v>11.31</v>
      </c>
      <c r="F7" s="8">
        <f t="shared" si="0"/>
        <v>135.72</v>
      </c>
    </row>
    <row r="8" spans="1:6" ht="24.95" customHeight="1" x14ac:dyDescent="0.25">
      <c r="A8" s="6">
        <v>166</v>
      </c>
      <c r="B8" s="4" t="s">
        <v>96</v>
      </c>
      <c r="C8" s="3" t="s">
        <v>94</v>
      </c>
      <c r="D8" s="9">
        <v>12</v>
      </c>
      <c r="E8" s="7">
        <v>1.86</v>
      </c>
      <c r="F8" s="8">
        <f t="shared" si="0"/>
        <v>22.32</v>
      </c>
    </row>
    <row r="9" spans="1:6" ht="24.95" customHeight="1" x14ac:dyDescent="0.25">
      <c r="A9" s="6">
        <v>167</v>
      </c>
      <c r="B9" s="4" t="s">
        <v>97</v>
      </c>
      <c r="C9" s="3" t="s">
        <v>94</v>
      </c>
      <c r="D9" s="9">
        <v>6</v>
      </c>
      <c r="E9" s="7">
        <v>10.85</v>
      </c>
      <c r="F9" s="8">
        <f t="shared" si="0"/>
        <v>65.099999999999994</v>
      </c>
    </row>
    <row r="10" spans="1:6" ht="24.95" customHeight="1" x14ac:dyDescent="0.25">
      <c r="A10" s="6">
        <v>168</v>
      </c>
      <c r="B10" s="4" t="s">
        <v>98</v>
      </c>
      <c r="C10" s="3" t="s">
        <v>29</v>
      </c>
      <c r="D10" s="9">
        <v>6</v>
      </c>
      <c r="E10" s="7">
        <v>4.6500000000000004</v>
      </c>
      <c r="F10" s="8">
        <f t="shared" si="0"/>
        <v>27.900000000000002</v>
      </c>
    </row>
    <row r="11" spans="1:6" ht="24.95" customHeight="1" x14ac:dyDescent="0.25">
      <c r="A11" s="6">
        <v>169</v>
      </c>
      <c r="B11" s="4" t="s">
        <v>99</v>
      </c>
      <c r="C11" s="3" t="s">
        <v>94</v>
      </c>
      <c r="D11" s="9">
        <v>10</v>
      </c>
      <c r="E11" s="7">
        <v>0.88</v>
      </c>
      <c r="F11" s="8">
        <f t="shared" si="0"/>
        <v>8.8000000000000007</v>
      </c>
    </row>
    <row r="12" spans="1:6" ht="24.95" customHeight="1" x14ac:dyDescent="0.25">
      <c r="A12" s="6">
        <v>170</v>
      </c>
      <c r="B12" s="4" t="s">
        <v>100</v>
      </c>
      <c r="C12" s="3" t="s">
        <v>52</v>
      </c>
      <c r="D12" s="9">
        <v>1</v>
      </c>
      <c r="E12" s="7">
        <v>17.21</v>
      </c>
      <c r="F12" s="8">
        <f t="shared" si="0"/>
        <v>17.21</v>
      </c>
    </row>
    <row r="13" spans="1:6" ht="24.95" customHeight="1" x14ac:dyDescent="0.25">
      <c r="A13" s="6">
        <v>171</v>
      </c>
      <c r="B13" s="4" t="s">
        <v>103</v>
      </c>
      <c r="C13" s="3" t="s">
        <v>104</v>
      </c>
      <c r="D13" s="9">
        <v>1</v>
      </c>
      <c r="E13" s="7">
        <v>26.04</v>
      </c>
      <c r="F13" s="8">
        <f t="shared" si="0"/>
        <v>26.04</v>
      </c>
    </row>
    <row r="14" spans="1:6" ht="24.95" customHeight="1" x14ac:dyDescent="0.25">
      <c r="A14" s="6">
        <v>172</v>
      </c>
      <c r="B14" s="4" t="s">
        <v>105</v>
      </c>
      <c r="C14" s="3" t="s">
        <v>104</v>
      </c>
      <c r="D14" s="9">
        <v>1</v>
      </c>
      <c r="E14" s="7">
        <v>44.21</v>
      </c>
      <c r="F14" s="8">
        <f t="shared" si="0"/>
        <v>44.21</v>
      </c>
    </row>
    <row r="15" spans="1:6" ht="24.95" customHeight="1" x14ac:dyDescent="0.25">
      <c r="A15" s="6">
        <v>173</v>
      </c>
      <c r="B15" s="4" t="s">
        <v>108</v>
      </c>
      <c r="C15" s="3" t="s">
        <v>109</v>
      </c>
      <c r="D15" s="9">
        <v>2</v>
      </c>
      <c r="E15" s="7">
        <v>40.49</v>
      </c>
      <c r="F15" s="8">
        <f t="shared" si="0"/>
        <v>80.98</v>
      </c>
    </row>
    <row r="16" spans="1:6" ht="24.95" customHeight="1" x14ac:dyDescent="0.25">
      <c r="A16" s="6">
        <v>174</v>
      </c>
      <c r="B16" s="4" t="s">
        <v>108</v>
      </c>
      <c r="C16" s="3" t="s">
        <v>110</v>
      </c>
      <c r="D16" s="9">
        <v>8</v>
      </c>
      <c r="E16" s="7">
        <v>69.59</v>
      </c>
      <c r="F16" s="8">
        <f t="shared" si="0"/>
        <v>556.72</v>
      </c>
    </row>
    <row r="17" spans="1:6" ht="24.95" customHeight="1" x14ac:dyDescent="0.25">
      <c r="A17" s="6">
        <v>175</v>
      </c>
      <c r="B17" s="4" t="s">
        <v>111</v>
      </c>
      <c r="C17" s="3" t="s">
        <v>112</v>
      </c>
      <c r="D17" s="9">
        <v>7</v>
      </c>
      <c r="E17" s="7">
        <v>16.04</v>
      </c>
      <c r="F17" s="8">
        <f t="shared" si="0"/>
        <v>112.28</v>
      </c>
    </row>
    <row r="18" spans="1:6" ht="24.95" customHeight="1" x14ac:dyDescent="0.25">
      <c r="A18" s="6">
        <v>176</v>
      </c>
      <c r="B18" s="4" t="s">
        <v>111</v>
      </c>
      <c r="C18" s="3" t="s">
        <v>113</v>
      </c>
      <c r="D18" s="9">
        <v>8</v>
      </c>
      <c r="E18" s="7">
        <v>26.81</v>
      </c>
      <c r="F18" s="8">
        <f t="shared" si="0"/>
        <v>214.48</v>
      </c>
    </row>
    <row r="19" spans="1:6" ht="24.95" customHeight="1" x14ac:dyDescent="0.25">
      <c r="A19" s="6">
        <v>177</v>
      </c>
      <c r="B19" s="4" t="s">
        <v>103</v>
      </c>
      <c r="C19" s="3" t="s">
        <v>116</v>
      </c>
      <c r="D19" s="9">
        <v>5</v>
      </c>
      <c r="E19" s="7">
        <v>10.96</v>
      </c>
      <c r="F19" s="8">
        <f t="shared" si="0"/>
        <v>54.800000000000004</v>
      </c>
    </row>
    <row r="20" spans="1:6" ht="24.95" customHeight="1" x14ac:dyDescent="0.25">
      <c r="A20" s="6">
        <v>178</v>
      </c>
      <c r="B20" s="4" t="s">
        <v>117</v>
      </c>
      <c r="C20" s="3" t="s">
        <v>118</v>
      </c>
      <c r="D20" s="9">
        <v>10</v>
      </c>
      <c r="E20" s="7">
        <v>5.4</v>
      </c>
      <c r="F20" s="8">
        <f t="shared" si="0"/>
        <v>54</v>
      </c>
    </row>
    <row r="21" spans="1:6" ht="24.95" customHeight="1" x14ac:dyDescent="0.25">
      <c r="A21" s="6">
        <v>179</v>
      </c>
      <c r="B21" s="4" t="s">
        <v>117</v>
      </c>
      <c r="C21" s="3" t="s">
        <v>119</v>
      </c>
      <c r="D21" s="9">
        <v>5</v>
      </c>
      <c r="E21" s="7">
        <v>6.4</v>
      </c>
      <c r="F21" s="8">
        <f t="shared" si="0"/>
        <v>32</v>
      </c>
    </row>
    <row r="22" spans="1:6" ht="24.95" customHeight="1" x14ac:dyDescent="0.25">
      <c r="A22" s="6">
        <v>180</v>
      </c>
      <c r="B22" s="4" t="s">
        <v>120</v>
      </c>
      <c r="C22" s="3" t="s">
        <v>6</v>
      </c>
      <c r="D22" s="9">
        <v>12</v>
      </c>
      <c r="E22" s="7">
        <v>0.88</v>
      </c>
      <c r="F22" s="8">
        <f t="shared" si="0"/>
        <v>10.56</v>
      </c>
    </row>
    <row r="23" spans="1:6" ht="24.95" customHeight="1" x14ac:dyDescent="0.25">
      <c r="A23" s="6">
        <v>181</v>
      </c>
      <c r="B23" s="4" t="s">
        <v>121</v>
      </c>
      <c r="C23" s="3" t="s">
        <v>122</v>
      </c>
      <c r="D23" s="9">
        <v>1</v>
      </c>
      <c r="E23" s="7">
        <v>12.32</v>
      </c>
      <c r="F23" s="8">
        <f t="shared" si="0"/>
        <v>12.32</v>
      </c>
    </row>
    <row r="24" spans="1:6" ht="24.95" customHeight="1" x14ac:dyDescent="0.25">
      <c r="A24" s="6">
        <v>182</v>
      </c>
      <c r="B24" s="4" t="s">
        <v>123</v>
      </c>
      <c r="C24" s="3" t="s">
        <v>6</v>
      </c>
      <c r="D24" s="9">
        <v>8</v>
      </c>
      <c r="E24" s="7">
        <v>2.8</v>
      </c>
      <c r="F24" s="8">
        <f t="shared" si="0"/>
        <v>22.4</v>
      </c>
    </row>
    <row r="25" spans="1:6" ht="24.95" customHeight="1" x14ac:dyDescent="0.25">
      <c r="A25" s="6">
        <v>183</v>
      </c>
      <c r="B25" s="4" t="s">
        <v>124</v>
      </c>
      <c r="C25" s="3" t="s">
        <v>125</v>
      </c>
      <c r="D25" s="9">
        <v>1</v>
      </c>
      <c r="E25" s="7">
        <v>1142.99</v>
      </c>
      <c r="F25" s="8">
        <f t="shared" si="0"/>
        <v>1142.99</v>
      </c>
    </row>
    <row r="26" spans="1:6" ht="24.95" customHeight="1" x14ac:dyDescent="0.25">
      <c r="A26" s="6">
        <v>184</v>
      </c>
      <c r="B26" s="4" t="s">
        <v>126</v>
      </c>
      <c r="C26" s="3" t="s">
        <v>66</v>
      </c>
      <c r="D26" s="9">
        <v>1</v>
      </c>
      <c r="E26" s="7">
        <v>1051.32</v>
      </c>
      <c r="F26" s="8">
        <f t="shared" si="0"/>
        <v>1051.32</v>
      </c>
    </row>
    <row r="27" spans="1:6" ht="24.95" customHeight="1" x14ac:dyDescent="0.25">
      <c r="A27" s="6">
        <v>185</v>
      </c>
      <c r="B27" s="4" t="s">
        <v>127</v>
      </c>
      <c r="C27" s="3" t="s">
        <v>66</v>
      </c>
      <c r="D27" s="9">
        <v>2</v>
      </c>
      <c r="E27" s="7">
        <v>1148</v>
      </c>
      <c r="F27" s="8">
        <f t="shared" si="0"/>
        <v>2296</v>
      </c>
    </row>
    <row r="28" spans="1:6" ht="24.95" customHeight="1" x14ac:dyDescent="0.25">
      <c r="A28" s="6">
        <v>186</v>
      </c>
      <c r="B28" s="4" t="s">
        <v>152</v>
      </c>
      <c r="C28" s="3" t="s">
        <v>66</v>
      </c>
      <c r="D28" s="9">
        <v>1</v>
      </c>
      <c r="E28" s="7">
        <v>935.49</v>
      </c>
      <c r="F28" s="8">
        <f t="shared" si="0"/>
        <v>935.49</v>
      </c>
    </row>
    <row r="29" spans="1:6" ht="24.95" customHeight="1" x14ac:dyDescent="0.25">
      <c r="A29" s="6">
        <v>187</v>
      </c>
      <c r="B29" s="4" t="s">
        <v>128</v>
      </c>
      <c r="C29" s="3" t="s">
        <v>6</v>
      </c>
      <c r="D29" s="9">
        <v>1</v>
      </c>
      <c r="E29" s="7">
        <v>3.5</v>
      </c>
      <c r="F29" s="8">
        <v>1.4</v>
      </c>
    </row>
    <row r="30" spans="1:6" ht="24.95" customHeight="1" x14ac:dyDescent="0.25">
      <c r="A30" s="24"/>
      <c r="B30" s="25"/>
      <c r="C30" s="25"/>
      <c r="D30" s="42" t="s">
        <v>8</v>
      </c>
      <c r="E30" s="42"/>
      <c r="F30" s="13">
        <f>SUM(F5:F29)</f>
        <v>7354.8399999999992</v>
      </c>
    </row>
  </sheetData>
  <mergeCells count="6">
    <mergeCell ref="A1:B1"/>
    <mergeCell ref="C1:F1"/>
    <mergeCell ref="A3:F3"/>
    <mergeCell ref="A4:F4"/>
    <mergeCell ref="A30:C30"/>
    <mergeCell ref="D30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K1-280-10-6</vt:lpstr>
      <vt:lpstr>2 dus wc tuvalet</vt:lpstr>
      <vt:lpstr>2 Lavoba 1 duş 1 Klozet 1 Wc ta</vt:lpstr>
      <vt:lpstr>'K1-280-10-6'!Yazdırma_Alanı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2026-09-24T12:59:12Z</dcterms:modified>
</cp:coreProperties>
</file>